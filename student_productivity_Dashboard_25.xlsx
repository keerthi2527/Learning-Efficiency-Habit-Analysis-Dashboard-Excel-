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Kreethi\Downloads\"/>
    </mc:Choice>
  </mc:AlternateContent>
  <xr:revisionPtr revIDLastSave="0" documentId="13_ncr:1_{0A3D45B1-F611-43E2-A6FF-A48028B0E3DE}" xr6:coauthVersionLast="47" xr6:coauthVersionMax="47" xr10:uidLastSave="{00000000-0000-0000-0000-000000000000}"/>
  <bookViews>
    <workbookView xWindow="-108" yWindow="-108" windowWidth="23256" windowHeight="12456" firstSheet="1" activeTab="4" xr2:uid="{00000000-000D-0000-FFFF-FFFF00000000}"/>
  </bookViews>
  <sheets>
    <sheet name="Sheet4" sheetId="6" r:id="rId1"/>
    <sheet name="Sheet5" sheetId="7" r:id="rId2"/>
    <sheet name="pivot Report" sheetId="8" r:id="rId3"/>
    <sheet name="Data" sheetId="1" r:id="rId4"/>
    <sheet name="Dashboard1" sheetId="10" r:id="rId5"/>
    <sheet name="productivity" sheetId="11" r:id="rId6"/>
    <sheet name="Goal_Achievement" sheetId="12" r:id="rId7"/>
    <sheet name="Average of Study_Hours " sheetId="13" r:id="rId8"/>
  </sheets>
  <definedNames>
    <definedName name="Slicer_Day">#N/A</definedName>
    <definedName name="Slicer_Month">#N/A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C3" i="1"/>
  <c r="M3" i="1"/>
  <c r="O3" i="1"/>
  <c r="N3" i="1" s="1"/>
  <c r="P3" i="1"/>
  <c r="Q3" i="1"/>
  <c r="R3" i="1"/>
  <c r="B4" i="1"/>
  <c r="C4" i="1"/>
  <c r="M4" i="1"/>
  <c r="O4" i="1"/>
  <c r="P4" i="1"/>
  <c r="Q4" i="1"/>
  <c r="B5" i="1"/>
  <c r="C5" i="1"/>
  <c r="M5" i="1"/>
  <c r="O5" i="1"/>
  <c r="N5" i="1" s="1"/>
  <c r="P5" i="1"/>
  <c r="Q5" i="1"/>
  <c r="R5" i="1"/>
  <c r="B6" i="1"/>
  <c r="C6" i="1"/>
  <c r="M6" i="1"/>
  <c r="O6" i="1"/>
  <c r="P6" i="1"/>
  <c r="Q6" i="1"/>
  <c r="B7" i="1"/>
  <c r="C7" i="1"/>
  <c r="M7" i="1"/>
  <c r="O7" i="1"/>
  <c r="P7" i="1"/>
  <c r="Q7" i="1"/>
  <c r="B8" i="1"/>
  <c r="C8" i="1"/>
  <c r="M8" i="1"/>
  <c r="O8" i="1"/>
  <c r="P8" i="1"/>
  <c r="Q8" i="1"/>
  <c r="B9" i="1"/>
  <c r="C9" i="1"/>
  <c r="M9" i="1"/>
  <c r="O9" i="1"/>
  <c r="P9" i="1"/>
  <c r="Q9" i="1"/>
  <c r="B10" i="1"/>
  <c r="C10" i="1"/>
  <c r="M10" i="1"/>
  <c r="O10" i="1"/>
  <c r="P10" i="1"/>
  <c r="Q10" i="1"/>
  <c r="R10" i="1"/>
  <c r="B11" i="1"/>
  <c r="C11" i="1"/>
  <c r="M11" i="1"/>
  <c r="O11" i="1"/>
  <c r="N11" i="1" s="1"/>
  <c r="P11" i="1"/>
  <c r="Q11" i="1"/>
  <c r="B12" i="1"/>
  <c r="C12" i="1"/>
  <c r="M12" i="1"/>
  <c r="O12" i="1"/>
  <c r="P12" i="1"/>
  <c r="Q12" i="1"/>
  <c r="B13" i="1"/>
  <c r="C13" i="1"/>
  <c r="M13" i="1"/>
  <c r="O13" i="1"/>
  <c r="N13" i="1" s="1"/>
  <c r="P13" i="1"/>
  <c r="Q13" i="1"/>
  <c r="B14" i="1"/>
  <c r="C14" i="1"/>
  <c r="M14" i="1"/>
  <c r="O14" i="1"/>
  <c r="P14" i="1"/>
  <c r="Q14" i="1"/>
  <c r="R14" i="1"/>
  <c r="B15" i="1"/>
  <c r="C15" i="1"/>
  <c r="M15" i="1"/>
  <c r="O15" i="1"/>
  <c r="P15" i="1"/>
  <c r="Q15" i="1"/>
  <c r="B16" i="1"/>
  <c r="C16" i="1"/>
  <c r="M16" i="1"/>
  <c r="O16" i="1"/>
  <c r="N16" i="1" s="1"/>
  <c r="P16" i="1"/>
  <c r="Q16" i="1"/>
  <c r="R16" i="1"/>
  <c r="B17" i="1"/>
  <c r="C17" i="1"/>
  <c r="M17" i="1"/>
  <c r="O17" i="1"/>
  <c r="N17" i="1" s="1"/>
  <c r="P17" i="1"/>
  <c r="Q17" i="1"/>
  <c r="B18" i="1"/>
  <c r="C18" i="1"/>
  <c r="M18" i="1"/>
  <c r="O18" i="1"/>
  <c r="N18" i="1" s="1"/>
  <c r="P18" i="1"/>
  <c r="Q18" i="1"/>
  <c r="R18" i="1"/>
  <c r="B19" i="1"/>
  <c r="C19" i="1"/>
  <c r="M19" i="1"/>
  <c r="O19" i="1"/>
  <c r="P19" i="1"/>
  <c r="Q19" i="1"/>
  <c r="B20" i="1"/>
  <c r="C20" i="1"/>
  <c r="M20" i="1"/>
  <c r="O20" i="1"/>
  <c r="N20" i="1" s="1"/>
  <c r="P20" i="1"/>
  <c r="Q20" i="1"/>
  <c r="B21" i="1"/>
  <c r="C21" i="1"/>
  <c r="M21" i="1"/>
  <c r="O21" i="1"/>
  <c r="P21" i="1"/>
  <c r="Q21" i="1"/>
  <c r="B22" i="1"/>
  <c r="C22" i="1"/>
  <c r="M22" i="1"/>
  <c r="O22" i="1"/>
  <c r="P22" i="1"/>
  <c r="Q22" i="1"/>
  <c r="B23" i="1"/>
  <c r="C23" i="1"/>
  <c r="M23" i="1"/>
  <c r="O23" i="1"/>
  <c r="P23" i="1"/>
  <c r="Q23" i="1"/>
  <c r="B24" i="1"/>
  <c r="C24" i="1"/>
  <c r="M24" i="1"/>
  <c r="O24" i="1"/>
  <c r="P24" i="1"/>
  <c r="Q24" i="1"/>
  <c r="B25" i="1"/>
  <c r="C25" i="1"/>
  <c r="M25" i="1"/>
  <c r="O25" i="1"/>
  <c r="P25" i="1"/>
  <c r="Q25" i="1"/>
  <c r="B26" i="1"/>
  <c r="C26" i="1"/>
  <c r="M26" i="1"/>
  <c r="O26" i="1"/>
  <c r="P26" i="1"/>
  <c r="Q26" i="1"/>
  <c r="R26" i="1"/>
  <c r="B27" i="1"/>
  <c r="C27" i="1"/>
  <c r="M27" i="1"/>
  <c r="O27" i="1"/>
  <c r="P27" i="1"/>
  <c r="Q27" i="1"/>
  <c r="B28" i="1"/>
  <c r="C28" i="1"/>
  <c r="M28" i="1"/>
  <c r="O28" i="1"/>
  <c r="N28" i="1" s="1"/>
  <c r="P28" i="1"/>
  <c r="Q28" i="1"/>
  <c r="B29" i="1"/>
  <c r="C29" i="1"/>
  <c r="M29" i="1"/>
  <c r="O29" i="1"/>
  <c r="R29" i="1" s="1"/>
  <c r="P29" i="1"/>
  <c r="Q29" i="1"/>
  <c r="B30" i="1"/>
  <c r="C30" i="1"/>
  <c r="M30" i="1"/>
  <c r="O30" i="1"/>
  <c r="N30" i="1" s="1"/>
  <c r="P30" i="1"/>
  <c r="Q30" i="1"/>
  <c r="B31" i="1"/>
  <c r="C31" i="1"/>
  <c r="M31" i="1"/>
  <c r="O31" i="1"/>
  <c r="P31" i="1"/>
  <c r="Q31" i="1"/>
  <c r="B32" i="1"/>
  <c r="C32" i="1"/>
  <c r="M32" i="1"/>
  <c r="O32" i="1"/>
  <c r="P32" i="1"/>
  <c r="Q32" i="1"/>
  <c r="B34" i="1"/>
  <c r="C34" i="1"/>
  <c r="M34" i="1"/>
  <c r="O34" i="1"/>
  <c r="P34" i="1"/>
  <c r="Q34" i="1"/>
  <c r="B35" i="1"/>
  <c r="C35" i="1"/>
  <c r="M35" i="1"/>
  <c r="O35" i="1"/>
  <c r="P35" i="1"/>
  <c r="Q35" i="1"/>
  <c r="B36" i="1"/>
  <c r="C36" i="1"/>
  <c r="M36" i="1"/>
  <c r="O36" i="1"/>
  <c r="P36" i="1"/>
  <c r="Q36" i="1"/>
  <c r="B37" i="1"/>
  <c r="C37" i="1"/>
  <c r="M37" i="1"/>
  <c r="O37" i="1"/>
  <c r="P37" i="1"/>
  <c r="Q37" i="1"/>
  <c r="B38" i="1"/>
  <c r="C38" i="1"/>
  <c r="M38" i="1"/>
  <c r="O38" i="1"/>
  <c r="P38" i="1"/>
  <c r="Q38" i="1"/>
  <c r="B39" i="1"/>
  <c r="C39" i="1"/>
  <c r="M39" i="1"/>
  <c r="O39" i="1"/>
  <c r="N39" i="1" s="1"/>
  <c r="P39" i="1"/>
  <c r="Q39" i="1"/>
  <c r="B40" i="1"/>
  <c r="C40" i="1"/>
  <c r="M40" i="1"/>
  <c r="O40" i="1"/>
  <c r="P40" i="1"/>
  <c r="Q40" i="1"/>
  <c r="B41" i="1"/>
  <c r="C41" i="1"/>
  <c r="M41" i="1"/>
  <c r="O41" i="1"/>
  <c r="N41" i="1" s="1"/>
  <c r="P41" i="1"/>
  <c r="Q41" i="1"/>
  <c r="B42" i="1"/>
  <c r="C42" i="1"/>
  <c r="M42" i="1"/>
  <c r="O42" i="1"/>
  <c r="P42" i="1"/>
  <c r="Q42" i="1"/>
  <c r="B43" i="1"/>
  <c r="C43" i="1"/>
  <c r="M43" i="1"/>
  <c r="O43" i="1"/>
  <c r="P43" i="1"/>
  <c r="Q43" i="1"/>
  <c r="B44" i="1"/>
  <c r="C44" i="1"/>
  <c r="M44" i="1"/>
  <c r="O44" i="1"/>
  <c r="P44" i="1"/>
  <c r="Q44" i="1"/>
  <c r="B45" i="1"/>
  <c r="C45" i="1"/>
  <c r="M45" i="1"/>
  <c r="O45" i="1"/>
  <c r="P45" i="1"/>
  <c r="Q45" i="1"/>
  <c r="B46" i="1"/>
  <c r="C46" i="1"/>
  <c r="M46" i="1"/>
  <c r="O46" i="1"/>
  <c r="P46" i="1"/>
  <c r="Q46" i="1"/>
  <c r="B47" i="1"/>
  <c r="C47" i="1"/>
  <c r="M47" i="1"/>
  <c r="O47" i="1"/>
  <c r="P47" i="1"/>
  <c r="Q47" i="1"/>
  <c r="R47" i="1"/>
  <c r="B48" i="1"/>
  <c r="C48" i="1"/>
  <c r="M48" i="1"/>
  <c r="O48" i="1"/>
  <c r="P48" i="1"/>
  <c r="Q48" i="1"/>
  <c r="B49" i="1"/>
  <c r="C49" i="1"/>
  <c r="M49" i="1"/>
  <c r="O49" i="1"/>
  <c r="N49" i="1" s="1"/>
  <c r="P49" i="1"/>
  <c r="R49" i="1" s="1"/>
  <c r="Q49" i="1"/>
  <c r="B50" i="1"/>
  <c r="C50" i="1"/>
  <c r="M50" i="1"/>
  <c r="O50" i="1"/>
  <c r="N50" i="1" s="1"/>
  <c r="P50" i="1"/>
  <c r="Q50" i="1"/>
  <c r="R50" i="1"/>
  <c r="B51" i="1"/>
  <c r="C51" i="1"/>
  <c r="M51" i="1"/>
  <c r="O51" i="1"/>
  <c r="P51" i="1"/>
  <c r="Q51" i="1"/>
  <c r="B52" i="1"/>
  <c r="C52" i="1"/>
  <c r="M52" i="1"/>
  <c r="O52" i="1"/>
  <c r="N52" i="1" s="1"/>
  <c r="P52" i="1"/>
  <c r="Q52" i="1"/>
  <c r="B53" i="1"/>
  <c r="C53" i="1"/>
  <c r="M53" i="1"/>
  <c r="O53" i="1"/>
  <c r="P53" i="1"/>
  <c r="Q53" i="1"/>
  <c r="B54" i="1"/>
  <c r="C54" i="1"/>
  <c r="M54" i="1"/>
  <c r="O54" i="1"/>
  <c r="N54" i="1" s="1"/>
  <c r="P54" i="1"/>
  <c r="Q54" i="1"/>
  <c r="B55" i="1"/>
  <c r="C55" i="1"/>
  <c r="M55" i="1"/>
  <c r="O55" i="1"/>
  <c r="P55" i="1"/>
  <c r="Q55" i="1"/>
  <c r="B56" i="1"/>
  <c r="C56" i="1"/>
  <c r="M56" i="1"/>
  <c r="O56" i="1"/>
  <c r="P56" i="1"/>
  <c r="Q56" i="1"/>
  <c r="B57" i="1"/>
  <c r="C57" i="1"/>
  <c r="M57" i="1"/>
  <c r="O57" i="1"/>
  <c r="N57" i="1" s="1"/>
  <c r="P57" i="1"/>
  <c r="Q57" i="1"/>
  <c r="B58" i="1"/>
  <c r="C58" i="1"/>
  <c r="M58" i="1"/>
  <c r="O58" i="1"/>
  <c r="P58" i="1"/>
  <c r="Q58" i="1"/>
  <c r="B59" i="1"/>
  <c r="C59" i="1"/>
  <c r="M59" i="1"/>
  <c r="O59" i="1"/>
  <c r="N59" i="1" s="1"/>
  <c r="P59" i="1"/>
  <c r="Q59" i="1"/>
  <c r="B60" i="1"/>
  <c r="C60" i="1"/>
  <c r="M60" i="1"/>
  <c r="O60" i="1"/>
  <c r="P60" i="1"/>
  <c r="Q60" i="1"/>
  <c r="B62" i="1"/>
  <c r="C62" i="1"/>
  <c r="M62" i="1"/>
  <c r="O62" i="1"/>
  <c r="N62" i="1" s="1"/>
  <c r="P62" i="1"/>
  <c r="Q62" i="1"/>
  <c r="B63" i="1"/>
  <c r="C63" i="1"/>
  <c r="M63" i="1"/>
  <c r="O63" i="1"/>
  <c r="N63" i="1" s="1"/>
  <c r="P63" i="1"/>
  <c r="Q63" i="1"/>
  <c r="B64" i="1"/>
  <c r="C64" i="1"/>
  <c r="M64" i="1"/>
  <c r="O64" i="1"/>
  <c r="P64" i="1"/>
  <c r="Q64" i="1"/>
  <c r="B65" i="1"/>
  <c r="C65" i="1"/>
  <c r="M65" i="1"/>
  <c r="O65" i="1"/>
  <c r="N65" i="1" s="1"/>
  <c r="P65" i="1"/>
  <c r="Q65" i="1"/>
  <c r="B66" i="1"/>
  <c r="C66" i="1"/>
  <c r="M66" i="1"/>
  <c r="O66" i="1"/>
  <c r="P66" i="1"/>
  <c r="Q66" i="1"/>
  <c r="B67" i="1"/>
  <c r="C67" i="1"/>
  <c r="M67" i="1"/>
  <c r="O67" i="1"/>
  <c r="N67" i="1" s="1"/>
  <c r="P67" i="1"/>
  <c r="Q67" i="1"/>
  <c r="B68" i="1"/>
  <c r="C68" i="1"/>
  <c r="M68" i="1"/>
  <c r="O68" i="1"/>
  <c r="N68" i="1" s="1"/>
  <c r="P68" i="1"/>
  <c r="Q68" i="1"/>
  <c r="B69" i="1"/>
  <c r="C69" i="1"/>
  <c r="M69" i="1"/>
  <c r="O69" i="1"/>
  <c r="P69" i="1"/>
  <c r="Q69" i="1"/>
  <c r="B70" i="1"/>
  <c r="C70" i="1"/>
  <c r="M70" i="1"/>
  <c r="O70" i="1"/>
  <c r="P70" i="1"/>
  <c r="Q70" i="1"/>
  <c r="R70" i="1"/>
  <c r="B71" i="1"/>
  <c r="C71" i="1"/>
  <c r="M71" i="1"/>
  <c r="O71" i="1"/>
  <c r="N71" i="1" s="1"/>
  <c r="P71" i="1"/>
  <c r="Q71" i="1"/>
  <c r="B72" i="1"/>
  <c r="C72" i="1"/>
  <c r="M72" i="1"/>
  <c r="O72" i="1"/>
  <c r="P72" i="1"/>
  <c r="Q72" i="1"/>
  <c r="B73" i="1"/>
  <c r="C73" i="1"/>
  <c r="M73" i="1"/>
  <c r="O73" i="1"/>
  <c r="N73" i="1" s="1"/>
  <c r="P73" i="1"/>
  <c r="Q73" i="1"/>
  <c r="B74" i="1"/>
  <c r="C74" i="1"/>
  <c r="M74" i="1"/>
  <c r="O74" i="1"/>
  <c r="P74" i="1"/>
  <c r="Q74" i="1"/>
  <c r="B75" i="1"/>
  <c r="C75" i="1"/>
  <c r="M75" i="1"/>
  <c r="O75" i="1"/>
  <c r="P75" i="1"/>
  <c r="Q75" i="1"/>
  <c r="B76" i="1"/>
  <c r="C76" i="1"/>
  <c r="M76" i="1"/>
  <c r="O76" i="1"/>
  <c r="P76" i="1"/>
  <c r="Q76" i="1"/>
  <c r="B77" i="1"/>
  <c r="C77" i="1"/>
  <c r="M77" i="1"/>
  <c r="O77" i="1"/>
  <c r="N77" i="1" s="1"/>
  <c r="P77" i="1"/>
  <c r="Q77" i="1"/>
  <c r="R77" i="1"/>
  <c r="B78" i="1"/>
  <c r="C78" i="1"/>
  <c r="M78" i="1"/>
  <c r="O78" i="1"/>
  <c r="N78" i="1" s="1"/>
  <c r="P78" i="1"/>
  <c r="Q78" i="1"/>
  <c r="B79" i="1"/>
  <c r="C79" i="1"/>
  <c r="M79" i="1"/>
  <c r="O79" i="1"/>
  <c r="P79" i="1"/>
  <c r="Q79" i="1"/>
  <c r="B80" i="1"/>
  <c r="C80" i="1"/>
  <c r="M80" i="1"/>
  <c r="O80" i="1"/>
  <c r="N80" i="1" s="1"/>
  <c r="P80" i="1"/>
  <c r="Q80" i="1"/>
  <c r="B81" i="1"/>
  <c r="C81" i="1"/>
  <c r="M81" i="1"/>
  <c r="O81" i="1"/>
  <c r="N81" i="1" s="1"/>
  <c r="P81" i="1"/>
  <c r="Q81" i="1"/>
  <c r="R81" i="1"/>
  <c r="B82" i="1"/>
  <c r="C82" i="1"/>
  <c r="M82" i="1"/>
  <c r="O82" i="1"/>
  <c r="P82" i="1"/>
  <c r="Q82" i="1"/>
  <c r="B83" i="1"/>
  <c r="C83" i="1"/>
  <c r="M83" i="1"/>
  <c r="O83" i="1"/>
  <c r="N83" i="1" s="1"/>
  <c r="P83" i="1"/>
  <c r="Q83" i="1"/>
  <c r="B84" i="1"/>
  <c r="C84" i="1"/>
  <c r="M84" i="1"/>
  <c r="O84" i="1"/>
  <c r="P84" i="1"/>
  <c r="Q84" i="1"/>
  <c r="B85" i="1"/>
  <c r="C85" i="1"/>
  <c r="M85" i="1"/>
  <c r="O85" i="1"/>
  <c r="N85" i="1" s="1"/>
  <c r="P85" i="1"/>
  <c r="Q85" i="1"/>
  <c r="B86" i="1"/>
  <c r="C86" i="1"/>
  <c r="M86" i="1"/>
  <c r="O86" i="1"/>
  <c r="R86" i="1" s="1"/>
  <c r="P86" i="1"/>
  <c r="Q86" i="1"/>
  <c r="B87" i="1"/>
  <c r="C87" i="1"/>
  <c r="M87" i="1"/>
  <c r="O87" i="1"/>
  <c r="N87" i="1" s="1"/>
  <c r="P87" i="1"/>
  <c r="Q87" i="1"/>
  <c r="B88" i="1"/>
  <c r="C88" i="1"/>
  <c r="M88" i="1"/>
  <c r="O88" i="1"/>
  <c r="P88" i="1"/>
  <c r="Q88" i="1"/>
  <c r="R88" i="1"/>
  <c r="B89" i="1"/>
  <c r="C89" i="1"/>
  <c r="M89" i="1"/>
  <c r="O89" i="1"/>
  <c r="P89" i="1"/>
  <c r="Q89" i="1"/>
  <c r="B90" i="1"/>
  <c r="C90" i="1"/>
  <c r="M90" i="1"/>
  <c r="O90" i="1"/>
  <c r="N90" i="1" s="1"/>
  <c r="P90" i="1"/>
  <c r="Q90" i="1"/>
  <c r="R90" i="1"/>
  <c r="B91" i="1"/>
  <c r="C91" i="1"/>
  <c r="M91" i="1"/>
  <c r="O91" i="1"/>
  <c r="N91" i="1" s="1"/>
  <c r="P91" i="1"/>
  <c r="Q91" i="1"/>
  <c r="B93" i="1"/>
  <c r="C93" i="1"/>
  <c r="M93" i="1"/>
  <c r="O93" i="1"/>
  <c r="P93" i="1"/>
  <c r="Q93" i="1"/>
  <c r="B94" i="1"/>
  <c r="C94" i="1"/>
  <c r="M94" i="1"/>
  <c r="O94" i="1"/>
  <c r="N94" i="1" s="1"/>
  <c r="P94" i="1"/>
  <c r="Q94" i="1"/>
  <c r="B95" i="1"/>
  <c r="C95" i="1"/>
  <c r="M95" i="1"/>
  <c r="O95" i="1"/>
  <c r="N95" i="1" s="1"/>
  <c r="P95" i="1"/>
  <c r="Q95" i="1"/>
  <c r="R95" i="1"/>
  <c r="B96" i="1"/>
  <c r="C96" i="1"/>
  <c r="M96" i="1"/>
  <c r="O96" i="1"/>
  <c r="N96" i="1" s="1"/>
  <c r="P96" i="1"/>
  <c r="Q96" i="1"/>
  <c r="B97" i="1"/>
  <c r="C97" i="1"/>
  <c r="M97" i="1"/>
  <c r="O97" i="1"/>
  <c r="N97" i="1" s="1"/>
  <c r="P97" i="1"/>
  <c r="Q97" i="1"/>
  <c r="R97" i="1"/>
  <c r="B98" i="1"/>
  <c r="C98" i="1"/>
  <c r="M98" i="1"/>
  <c r="O98" i="1"/>
  <c r="P98" i="1"/>
  <c r="Q98" i="1"/>
  <c r="B99" i="1"/>
  <c r="C99" i="1"/>
  <c r="M99" i="1"/>
  <c r="O99" i="1"/>
  <c r="N99" i="1" s="1"/>
  <c r="P99" i="1"/>
  <c r="Q99" i="1"/>
  <c r="B100" i="1"/>
  <c r="C100" i="1"/>
  <c r="M100" i="1"/>
  <c r="O100" i="1"/>
  <c r="R100" i="1" s="1"/>
  <c r="P100" i="1"/>
  <c r="Q100" i="1"/>
  <c r="B101" i="1"/>
  <c r="C101" i="1"/>
  <c r="M101" i="1"/>
  <c r="O101" i="1"/>
  <c r="P101" i="1"/>
  <c r="Q101" i="1"/>
  <c r="B102" i="1"/>
  <c r="C102" i="1"/>
  <c r="M102" i="1"/>
  <c r="O102" i="1"/>
  <c r="N102" i="1" s="1"/>
  <c r="P102" i="1"/>
  <c r="Q102" i="1"/>
  <c r="B103" i="1"/>
  <c r="C103" i="1"/>
  <c r="M103" i="1"/>
  <c r="O103" i="1"/>
  <c r="P103" i="1"/>
  <c r="Q103" i="1"/>
  <c r="B104" i="1"/>
  <c r="C104" i="1"/>
  <c r="M104" i="1"/>
  <c r="O104" i="1"/>
  <c r="P104" i="1"/>
  <c r="Q104" i="1"/>
  <c r="B105" i="1"/>
  <c r="C105" i="1"/>
  <c r="M105" i="1"/>
  <c r="O105" i="1"/>
  <c r="P105" i="1"/>
  <c r="Q105" i="1"/>
  <c r="B106" i="1"/>
  <c r="C106" i="1"/>
  <c r="M106" i="1"/>
  <c r="O106" i="1"/>
  <c r="P106" i="1"/>
  <c r="Q106" i="1"/>
  <c r="B107" i="1"/>
  <c r="C107" i="1"/>
  <c r="M107" i="1"/>
  <c r="O107" i="1"/>
  <c r="P107" i="1"/>
  <c r="Q107" i="1"/>
  <c r="B108" i="1"/>
  <c r="C108" i="1"/>
  <c r="M108" i="1"/>
  <c r="O108" i="1"/>
  <c r="P108" i="1"/>
  <c r="Q108" i="1"/>
  <c r="R108" i="1"/>
  <c r="B109" i="1"/>
  <c r="C109" i="1"/>
  <c r="M109" i="1"/>
  <c r="O109" i="1"/>
  <c r="N109" i="1" s="1"/>
  <c r="P109" i="1"/>
  <c r="Q109" i="1"/>
  <c r="B110" i="1"/>
  <c r="C110" i="1"/>
  <c r="M110" i="1"/>
  <c r="O110" i="1"/>
  <c r="P110" i="1"/>
  <c r="Q110" i="1"/>
  <c r="B111" i="1"/>
  <c r="C111" i="1"/>
  <c r="M111" i="1"/>
  <c r="O111" i="1"/>
  <c r="N111" i="1" s="1"/>
  <c r="P111" i="1"/>
  <c r="Q111" i="1"/>
  <c r="B112" i="1"/>
  <c r="C112" i="1"/>
  <c r="M112" i="1"/>
  <c r="O112" i="1"/>
  <c r="N112" i="1" s="1"/>
  <c r="P112" i="1"/>
  <c r="Q112" i="1"/>
  <c r="B113" i="1"/>
  <c r="C113" i="1"/>
  <c r="M113" i="1"/>
  <c r="O113" i="1"/>
  <c r="P113" i="1"/>
  <c r="Q113" i="1"/>
  <c r="B114" i="1"/>
  <c r="C114" i="1"/>
  <c r="M114" i="1"/>
  <c r="O114" i="1"/>
  <c r="N114" i="1" s="1"/>
  <c r="P114" i="1"/>
  <c r="Q114" i="1"/>
  <c r="B115" i="1"/>
  <c r="C115" i="1"/>
  <c r="M115" i="1"/>
  <c r="O115" i="1"/>
  <c r="P115" i="1"/>
  <c r="Q115" i="1"/>
  <c r="B116" i="1"/>
  <c r="C116" i="1"/>
  <c r="M116" i="1"/>
  <c r="O116" i="1"/>
  <c r="P116" i="1"/>
  <c r="Q116" i="1"/>
  <c r="R116" i="1"/>
  <c r="B117" i="1"/>
  <c r="C117" i="1"/>
  <c r="M117" i="1"/>
  <c r="O117" i="1"/>
  <c r="N117" i="1" s="1"/>
  <c r="P117" i="1"/>
  <c r="Q117" i="1"/>
  <c r="B118" i="1"/>
  <c r="C118" i="1"/>
  <c r="M118" i="1"/>
  <c r="O118" i="1"/>
  <c r="P118" i="1"/>
  <c r="Q118" i="1"/>
  <c r="B119" i="1"/>
  <c r="C119" i="1"/>
  <c r="M119" i="1"/>
  <c r="O119" i="1"/>
  <c r="P119" i="1"/>
  <c r="Q119" i="1"/>
  <c r="R119" i="1"/>
  <c r="B120" i="1"/>
  <c r="C120" i="1"/>
  <c r="M120" i="1"/>
  <c r="O120" i="1"/>
  <c r="P120" i="1"/>
  <c r="Q120" i="1"/>
  <c r="B121" i="1"/>
  <c r="C121" i="1"/>
  <c r="M121" i="1"/>
  <c r="O121" i="1"/>
  <c r="N121" i="1" s="1"/>
  <c r="P121" i="1"/>
  <c r="Q121" i="1"/>
  <c r="B123" i="1"/>
  <c r="C123" i="1"/>
  <c r="M123" i="1"/>
  <c r="O123" i="1"/>
  <c r="N123" i="1" s="1"/>
  <c r="P123" i="1"/>
  <c r="Q123" i="1"/>
  <c r="B124" i="1"/>
  <c r="C124" i="1"/>
  <c r="M124" i="1"/>
  <c r="O124" i="1"/>
  <c r="P124" i="1"/>
  <c r="Q124" i="1"/>
  <c r="B125" i="1"/>
  <c r="C125" i="1"/>
  <c r="M125" i="1"/>
  <c r="O125" i="1"/>
  <c r="N125" i="1" s="1"/>
  <c r="P125" i="1"/>
  <c r="Q125" i="1"/>
  <c r="B126" i="1"/>
  <c r="C126" i="1"/>
  <c r="M126" i="1"/>
  <c r="O126" i="1"/>
  <c r="N126" i="1" s="1"/>
  <c r="P126" i="1"/>
  <c r="Q126" i="1"/>
  <c r="B127" i="1"/>
  <c r="C127" i="1"/>
  <c r="M127" i="1"/>
  <c r="O127" i="1"/>
  <c r="N127" i="1" s="1"/>
  <c r="P127" i="1"/>
  <c r="Q127" i="1"/>
  <c r="B128" i="1"/>
  <c r="C128" i="1"/>
  <c r="M128" i="1"/>
  <c r="O128" i="1"/>
  <c r="N128" i="1" s="1"/>
  <c r="P128" i="1"/>
  <c r="Q128" i="1"/>
  <c r="B129" i="1"/>
  <c r="C129" i="1"/>
  <c r="M129" i="1"/>
  <c r="O129" i="1"/>
  <c r="P129" i="1"/>
  <c r="Q129" i="1"/>
  <c r="B130" i="1"/>
  <c r="C130" i="1"/>
  <c r="M130" i="1"/>
  <c r="O130" i="1"/>
  <c r="N130" i="1" s="1"/>
  <c r="P130" i="1"/>
  <c r="Q130" i="1"/>
  <c r="B131" i="1"/>
  <c r="C131" i="1"/>
  <c r="M131" i="1"/>
  <c r="O131" i="1"/>
  <c r="P131" i="1"/>
  <c r="Q131" i="1"/>
  <c r="B132" i="1"/>
  <c r="C132" i="1"/>
  <c r="M132" i="1"/>
  <c r="O132" i="1"/>
  <c r="P132" i="1"/>
  <c r="Q132" i="1"/>
  <c r="B133" i="1"/>
  <c r="C133" i="1"/>
  <c r="M133" i="1"/>
  <c r="O133" i="1"/>
  <c r="P133" i="1"/>
  <c r="Q133" i="1"/>
  <c r="B134" i="1"/>
  <c r="C134" i="1"/>
  <c r="M134" i="1"/>
  <c r="O134" i="1"/>
  <c r="N134" i="1" s="1"/>
  <c r="P134" i="1"/>
  <c r="Q134" i="1"/>
  <c r="B135" i="1"/>
  <c r="C135" i="1"/>
  <c r="M135" i="1"/>
  <c r="O135" i="1"/>
  <c r="P135" i="1"/>
  <c r="Q135" i="1"/>
  <c r="B136" i="1"/>
  <c r="C136" i="1"/>
  <c r="M136" i="1"/>
  <c r="O136" i="1"/>
  <c r="R136" i="1" s="1"/>
  <c r="P136" i="1"/>
  <c r="Q136" i="1"/>
  <c r="B137" i="1"/>
  <c r="C137" i="1"/>
  <c r="M137" i="1"/>
  <c r="O137" i="1"/>
  <c r="P137" i="1"/>
  <c r="Q137" i="1"/>
  <c r="B138" i="1"/>
  <c r="C138" i="1"/>
  <c r="M138" i="1"/>
  <c r="O138" i="1"/>
  <c r="P138" i="1"/>
  <c r="Q138" i="1"/>
  <c r="B139" i="1"/>
  <c r="C139" i="1"/>
  <c r="M139" i="1"/>
  <c r="O139" i="1"/>
  <c r="P139" i="1"/>
  <c r="Q139" i="1"/>
  <c r="B140" i="1"/>
  <c r="C140" i="1"/>
  <c r="M140" i="1"/>
  <c r="O140" i="1"/>
  <c r="P140" i="1"/>
  <c r="Q140" i="1"/>
  <c r="B141" i="1"/>
  <c r="C141" i="1"/>
  <c r="M141" i="1"/>
  <c r="O141" i="1"/>
  <c r="P141" i="1"/>
  <c r="Q141" i="1"/>
  <c r="B142" i="1"/>
  <c r="C142" i="1"/>
  <c r="M142" i="1"/>
  <c r="O142" i="1"/>
  <c r="P142" i="1"/>
  <c r="Q142" i="1"/>
  <c r="B143" i="1"/>
  <c r="C143" i="1"/>
  <c r="M143" i="1"/>
  <c r="O143" i="1"/>
  <c r="P143" i="1"/>
  <c r="Q143" i="1"/>
  <c r="R143" i="1"/>
  <c r="B144" i="1"/>
  <c r="C144" i="1"/>
  <c r="M144" i="1"/>
  <c r="O144" i="1"/>
  <c r="P144" i="1"/>
  <c r="Q144" i="1"/>
  <c r="B145" i="1"/>
  <c r="C145" i="1"/>
  <c r="M145" i="1"/>
  <c r="O145" i="1"/>
  <c r="N145" i="1" s="1"/>
  <c r="P145" i="1"/>
  <c r="Q145" i="1"/>
  <c r="R145" i="1"/>
  <c r="B146" i="1"/>
  <c r="C146" i="1"/>
  <c r="M146" i="1"/>
  <c r="O146" i="1"/>
  <c r="N146" i="1" s="1"/>
  <c r="P146" i="1"/>
  <c r="Q146" i="1"/>
  <c r="B147" i="1"/>
  <c r="C147" i="1"/>
  <c r="M147" i="1"/>
  <c r="O147" i="1"/>
  <c r="N147" i="1" s="1"/>
  <c r="P147" i="1"/>
  <c r="Q147" i="1"/>
  <c r="B148" i="1"/>
  <c r="C148" i="1"/>
  <c r="M148" i="1"/>
  <c r="O148" i="1"/>
  <c r="P148" i="1"/>
  <c r="Q148" i="1"/>
  <c r="B149" i="1"/>
  <c r="C149" i="1"/>
  <c r="M149" i="1"/>
  <c r="O149" i="1"/>
  <c r="P149" i="1"/>
  <c r="Q149" i="1"/>
  <c r="B150" i="1"/>
  <c r="C150" i="1"/>
  <c r="M150" i="1"/>
  <c r="O150" i="1"/>
  <c r="N150" i="1" s="1"/>
  <c r="P150" i="1"/>
  <c r="Q150" i="1"/>
  <c r="B151" i="1"/>
  <c r="C151" i="1"/>
  <c r="M151" i="1"/>
  <c r="O151" i="1"/>
  <c r="N151" i="1" s="1"/>
  <c r="P151" i="1"/>
  <c r="Q151" i="1"/>
  <c r="B152" i="1"/>
  <c r="C152" i="1"/>
  <c r="M152" i="1"/>
  <c r="O152" i="1"/>
  <c r="P152" i="1"/>
  <c r="Q152" i="1"/>
  <c r="B154" i="1"/>
  <c r="C154" i="1"/>
  <c r="M154" i="1"/>
  <c r="O154" i="1"/>
  <c r="N154" i="1" s="1"/>
  <c r="P154" i="1"/>
  <c r="Q154" i="1"/>
  <c r="B155" i="1"/>
  <c r="C155" i="1"/>
  <c r="M155" i="1"/>
  <c r="O155" i="1"/>
  <c r="P155" i="1"/>
  <c r="Q155" i="1"/>
  <c r="B156" i="1"/>
  <c r="C156" i="1"/>
  <c r="M156" i="1"/>
  <c r="O156" i="1"/>
  <c r="N156" i="1" s="1"/>
  <c r="P156" i="1"/>
  <c r="Q156" i="1"/>
  <c r="B157" i="1"/>
  <c r="C157" i="1"/>
  <c r="M157" i="1"/>
  <c r="O157" i="1"/>
  <c r="N157" i="1" s="1"/>
  <c r="P157" i="1"/>
  <c r="Q157" i="1"/>
  <c r="B158" i="1"/>
  <c r="C158" i="1"/>
  <c r="M158" i="1"/>
  <c r="O158" i="1"/>
  <c r="P158" i="1"/>
  <c r="Q158" i="1"/>
  <c r="B159" i="1"/>
  <c r="C159" i="1"/>
  <c r="M159" i="1"/>
  <c r="O159" i="1"/>
  <c r="N159" i="1" s="1"/>
  <c r="P159" i="1"/>
  <c r="Q159" i="1"/>
  <c r="B160" i="1"/>
  <c r="C160" i="1"/>
  <c r="M160" i="1"/>
  <c r="O160" i="1"/>
  <c r="P160" i="1"/>
  <c r="Q160" i="1"/>
  <c r="R160" i="1"/>
  <c r="B161" i="1"/>
  <c r="C161" i="1"/>
  <c r="M161" i="1"/>
  <c r="O161" i="1"/>
  <c r="N161" i="1" s="1"/>
  <c r="P161" i="1"/>
  <c r="Q161" i="1"/>
  <c r="B162" i="1"/>
  <c r="C162" i="1"/>
  <c r="M162" i="1"/>
  <c r="O162" i="1"/>
  <c r="N162" i="1" s="1"/>
  <c r="P162" i="1"/>
  <c r="Q162" i="1"/>
  <c r="B163" i="1"/>
  <c r="C163" i="1"/>
  <c r="M163" i="1"/>
  <c r="O163" i="1"/>
  <c r="P163" i="1"/>
  <c r="Q163" i="1"/>
  <c r="B164" i="1"/>
  <c r="C164" i="1"/>
  <c r="M164" i="1"/>
  <c r="O164" i="1"/>
  <c r="N164" i="1" s="1"/>
  <c r="P164" i="1"/>
  <c r="Q164" i="1"/>
  <c r="B165" i="1"/>
  <c r="C165" i="1"/>
  <c r="M165" i="1"/>
  <c r="O165" i="1"/>
  <c r="P165" i="1"/>
  <c r="Q165" i="1"/>
  <c r="B166" i="1"/>
  <c r="C166" i="1"/>
  <c r="M166" i="1"/>
  <c r="O166" i="1"/>
  <c r="N166" i="1" s="1"/>
  <c r="P166" i="1"/>
  <c r="Q166" i="1"/>
  <c r="B167" i="1"/>
  <c r="C167" i="1"/>
  <c r="M167" i="1"/>
  <c r="O167" i="1"/>
  <c r="N167" i="1" s="1"/>
  <c r="P167" i="1"/>
  <c r="Q167" i="1"/>
  <c r="B168" i="1"/>
  <c r="C168" i="1"/>
  <c r="M168" i="1"/>
  <c r="O168" i="1"/>
  <c r="P168" i="1"/>
  <c r="Q168" i="1"/>
  <c r="B169" i="1"/>
  <c r="C169" i="1"/>
  <c r="M169" i="1"/>
  <c r="O169" i="1"/>
  <c r="P169" i="1"/>
  <c r="Q169" i="1"/>
  <c r="B170" i="1"/>
  <c r="C170" i="1"/>
  <c r="M170" i="1"/>
  <c r="O170" i="1"/>
  <c r="N170" i="1" s="1"/>
  <c r="P170" i="1"/>
  <c r="Q170" i="1"/>
  <c r="B171" i="1"/>
  <c r="C171" i="1"/>
  <c r="M171" i="1"/>
  <c r="O171" i="1"/>
  <c r="P171" i="1"/>
  <c r="Q171" i="1"/>
  <c r="B172" i="1"/>
  <c r="C172" i="1"/>
  <c r="M172" i="1"/>
  <c r="O172" i="1"/>
  <c r="P172" i="1"/>
  <c r="Q172" i="1"/>
  <c r="B173" i="1"/>
  <c r="C173" i="1"/>
  <c r="M173" i="1"/>
  <c r="O173" i="1"/>
  <c r="P173" i="1"/>
  <c r="Q173" i="1"/>
  <c r="B174" i="1"/>
  <c r="C174" i="1"/>
  <c r="M174" i="1"/>
  <c r="O174" i="1"/>
  <c r="P174" i="1"/>
  <c r="Q174" i="1"/>
  <c r="B175" i="1"/>
  <c r="C175" i="1"/>
  <c r="M175" i="1"/>
  <c r="O175" i="1"/>
  <c r="P175" i="1"/>
  <c r="Q175" i="1"/>
  <c r="B176" i="1"/>
  <c r="C176" i="1"/>
  <c r="M176" i="1"/>
  <c r="O176" i="1"/>
  <c r="N176" i="1" s="1"/>
  <c r="P176" i="1"/>
  <c r="Q176" i="1"/>
  <c r="B177" i="1"/>
  <c r="C177" i="1"/>
  <c r="M177" i="1"/>
  <c r="O177" i="1"/>
  <c r="P177" i="1"/>
  <c r="Q177" i="1"/>
  <c r="R177" i="1"/>
  <c r="B178" i="1"/>
  <c r="C178" i="1"/>
  <c r="M178" i="1"/>
  <c r="O178" i="1"/>
  <c r="P178" i="1"/>
  <c r="Q178" i="1"/>
  <c r="B179" i="1"/>
  <c r="C179" i="1"/>
  <c r="M179" i="1"/>
  <c r="O179" i="1"/>
  <c r="N179" i="1" s="1"/>
  <c r="P179" i="1"/>
  <c r="Q179" i="1"/>
  <c r="R179" i="1"/>
  <c r="B180" i="1"/>
  <c r="C180" i="1"/>
  <c r="M180" i="1"/>
  <c r="O180" i="1"/>
  <c r="P180" i="1"/>
  <c r="Q180" i="1"/>
  <c r="B2" i="1"/>
  <c r="C2" i="1"/>
  <c r="M2" i="1"/>
  <c r="O2" i="1"/>
  <c r="N2" i="1" s="1"/>
  <c r="P2" i="1"/>
  <c r="Q2" i="1"/>
  <c r="B33" i="1"/>
  <c r="C33" i="1"/>
  <c r="M33" i="1"/>
  <c r="O33" i="1"/>
  <c r="P33" i="1"/>
  <c r="Q33" i="1"/>
  <c r="B61" i="1"/>
  <c r="C61" i="1"/>
  <c r="M61" i="1"/>
  <c r="O61" i="1"/>
  <c r="N61" i="1" s="1"/>
  <c r="P61" i="1"/>
  <c r="Q61" i="1"/>
  <c r="B92" i="1"/>
  <c r="C92" i="1"/>
  <c r="M92" i="1"/>
  <c r="O92" i="1"/>
  <c r="P92" i="1"/>
  <c r="Q92" i="1"/>
  <c r="B122" i="1"/>
  <c r="C122" i="1"/>
  <c r="M122" i="1"/>
  <c r="O122" i="1"/>
  <c r="P122" i="1"/>
  <c r="Q122" i="1"/>
  <c r="B153" i="1"/>
  <c r="C153" i="1"/>
  <c r="M153" i="1"/>
  <c r="O153" i="1"/>
  <c r="P153" i="1"/>
  <c r="Q153" i="1"/>
  <c r="B181" i="1"/>
  <c r="C181" i="1"/>
  <c r="M181" i="1"/>
  <c r="O181" i="1"/>
  <c r="P181" i="1"/>
  <c r="Q181" i="1"/>
  <c r="R23" i="1" l="1"/>
  <c r="R66" i="1"/>
  <c r="R51" i="1"/>
  <c r="R107" i="1"/>
  <c r="R148" i="1"/>
  <c r="R102" i="1"/>
  <c r="R166" i="1"/>
  <c r="R128" i="1"/>
  <c r="R162" i="1"/>
  <c r="N142" i="1"/>
  <c r="R126" i="1"/>
  <c r="N108" i="1"/>
  <c r="N106" i="1"/>
  <c r="N88" i="1"/>
  <c r="N46" i="1"/>
  <c r="N44" i="1"/>
  <c r="N42" i="1"/>
  <c r="N34" i="1"/>
  <c r="N31" i="1"/>
  <c r="R8" i="1"/>
  <c r="R21" i="1"/>
  <c r="R60" i="1"/>
  <c r="R68" i="1"/>
  <c r="R127" i="1"/>
  <c r="R76" i="1"/>
  <c r="R37" i="1"/>
  <c r="N165" i="1"/>
  <c r="R133" i="1"/>
  <c r="N131" i="1"/>
  <c r="R83" i="1"/>
  <c r="N70" i="1"/>
  <c r="N10" i="1"/>
  <c r="R115" i="1"/>
  <c r="R35" i="1"/>
  <c r="R15" i="1"/>
  <c r="R120" i="1"/>
  <c r="R55" i="1"/>
  <c r="R159" i="1"/>
  <c r="R117" i="1"/>
  <c r="R65" i="1"/>
  <c r="R41" i="1"/>
  <c r="R157" i="1"/>
  <c r="R63" i="1"/>
  <c r="R39" i="1"/>
  <c r="N153" i="1"/>
  <c r="R92" i="1"/>
  <c r="N33" i="1"/>
  <c r="R180" i="1"/>
  <c r="R170" i="1"/>
  <c r="R150" i="1"/>
  <c r="N143" i="1"/>
  <c r="N119" i="1"/>
  <c r="R82" i="1"/>
  <c r="R80" i="1"/>
  <c r="N47" i="1"/>
  <c r="N23" i="1"/>
  <c r="R6" i="1"/>
  <c r="R4" i="1"/>
  <c r="N180" i="1"/>
  <c r="R45" i="1"/>
  <c r="R153" i="1"/>
  <c r="R134" i="1"/>
  <c r="R125" i="1"/>
  <c r="R59" i="1"/>
  <c r="R46" i="1"/>
  <c r="R167" i="1"/>
  <c r="R123" i="1"/>
  <c r="R109" i="1"/>
  <c r="R96" i="1"/>
  <c r="R75" i="1"/>
  <c r="R67" i="1"/>
  <c r="R57" i="1"/>
  <c r="R44" i="1"/>
  <c r="N136" i="1"/>
  <c r="R130" i="1"/>
  <c r="N100" i="1"/>
  <c r="R78" i="1"/>
  <c r="R42" i="1"/>
  <c r="N37" i="1"/>
  <c r="R28" i="1"/>
  <c r="N21" i="1"/>
  <c r="N8" i="1"/>
  <c r="N4" i="1"/>
  <c r="R174" i="1"/>
  <c r="R140" i="1"/>
  <c r="R69" i="1"/>
  <c r="R168" i="1"/>
  <c r="R149" i="1"/>
  <c r="N149" i="1"/>
  <c r="R25" i="1"/>
  <c r="R53" i="1"/>
  <c r="N115" i="1"/>
  <c r="R98" i="1"/>
  <c r="R19" i="1"/>
  <c r="R169" i="1"/>
  <c r="R165" i="1"/>
  <c r="R156" i="1"/>
  <c r="R146" i="1"/>
  <c r="R131" i="1"/>
  <c r="R118" i="1"/>
  <c r="R94" i="1"/>
  <c r="R154" i="1"/>
  <c r="R121" i="1"/>
  <c r="R114" i="1"/>
  <c r="R91" i="1"/>
  <c r="R71" i="1"/>
  <c r="R52" i="1"/>
  <c r="R34" i="1"/>
  <c r="R13" i="1"/>
  <c r="R161" i="1"/>
  <c r="R151" i="1"/>
  <c r="N148" i="1"/>
  <c r="N133" i="1"/>
  <c r="N116" i="1"/>
  <c r="R112" i="1"/>
  <c r="N107" i="1"/>
  <c r="R99" i="1"/>
  <c r="N86" i="1"/>
  <c r="R84" i="1"/>
  <c r="N66" i="1"/>
  <c r="R62" i="1"/>
  <c r="R56" i="1"/>
  <c r="N36" i="1"/>
  <c r="R31" i="1"/>
  <c r="N26" i="1"/>
  <c r="R20" i="1"/>
  <c r="N15" i="1"/>
  <c r="R11" i="1"/>
  <c r="N6" i="1"/>
  <c r="N113" i="1"/>
  <c r="R113" i="1"/>
  <c r="N32" i="1"/>
  <c r="R32" i="1"/>
  <c r="N169" i="1"/>
  <c r="N155" i="1"/>
  <c r="R155" i="1"/>
  <c r="R138" i="1"/>
  <c r="N124" i="1"/>
  <c r="R124" i="1"/>
  <c r="N118" i="1"/>
  <c r="N93" i="1"/>
  <c r="R93" i="1"/>
  <c r="N64" i="1"/>
  <c r="R64" i="1"/>
  <c r="N25" i="1"/>
  <c r="N9" i="1"/>
  <c r="R9" i="1"/>
  <c r="R152" i="1"/>
  <c r="N140" i="1"/>
  <c r="N129" i="1"/>
  <c r="R129" i="1"/>
  <c r="N56" i="1"/>
  <c r="N40" i="1"/>
  <c r="R40" i="1"/>
  <c r="R7" i="1"/>
  <c r="N174" i="1"/>
  <c r="R172" i="1"/>
  <c r="N152" i="1"/>
  <c r="N69" i="1"/>
  <c r="R38" i="1"/>
  <c r="N7" i="1"/>
  <c r="N158" i="1"/>
  <c r="R158" i="1"/>
  <c r="N38" i="1"/>
  <c r="N12" i="1"/>
  <c r="R12" i="1"/>
  <c r="R132" i="1"/>
  <c r="N74" i="1"/>
  <c r="R74" i="1"/>
  <c r="R72" i="1"/>
  <c r="N43" i="1"/>
  <c r="R43" i="1"/>
  <c r="N163" i="1"/>
  <c r="R163" i="1"/>
  <c r="N132" i="1"/>
  <c r="N105" i="1"/>
  <c r="R105" i="1"/>
  <c r="R103" i="1"/>
  <c r="N72" i="1"/>
  <c r="N19" i="1"/>
  <c r="N139" i="1"/>
  <c r="R139" i="1"/>
  <c r="R137" i="1"/>
  <c r="N103" i="1"/>
  <c r="R101" i="1"/>
  <c r="N79" i="1"/>
  <c r="R79" i="1"/>
  <c r="N48" i="1"/>
  <c r="R48" i="1"/>
  <c r="N24" i="1"/>
  <c r="R24" i="1"/>
  <c r="N168" i="1"/>
  <c r="N137" i="1"/>
  <c r="N110" i="1"/>
  <c r="R110" i="1"/>
  <c r="R22" i="1"/>
  <c r="N173" i="1"/>
  <c r="R173" i="1"/>
  <c r="R171" i="1"/>
  <c r="R164" i="1"/>
  <c r="R142" i="1"/>
  <c r="R135" i="1"/>
  <c r="R106" i="1"/>
  <c r="N84" i="1"/>
  <c r="N53" i="1"/>
  <c r="N22" i="1"/>
  <c r="N181" i="1"/>
  <c r="R181" i="1"/>
  <c r="R61" i="1"/>
  <c r="R176" i="1"/>
  <c r="N171" i="1"/>
  <c r="N144" i="1"/>
  <c r="R144" i="1"/>
  <c r="N89" i="1"/>
  <c r="R89" i="1"/>
  <c r="N27" i="1"/>
  <c r="R27" i="1"/>
  <c r="R2" i="1"/>
  <c r="R178" i="1"/>
  <c r="R147" i="1"/>
  <c r="R111" i="1"/>
  <c r="R87" i="1"/>
  <c r="R85" i="1"/>
  <c r="N82" i="1"/>
  <c r="N58" i="1"/>
  <c r="R58" i="1"/>
  <c r="N51" i="1"/>
  <c r="N35" i="1"/>
  <c r="R30" i="1"/>
  <c r="R104" i="1"/>
  <c r="N75" i="1"/>
  <c r="N177" i="1"/>
  <c r="R175" i="1"/>
  <c r="R141" i="1"/>
  <c r="N160" i="1"/>
  <c r="N120" i="1"/>
  <c r="N76" i="1"/>
  <c r="N60" i="1"/>
  <c r="N55" i="1"/>
  <c r="N45" i="1"/>
  <c r="N29" i="1"/>
  <c r="N14" i="1"/>
  <c r="N122" i="1"/>
  <c r="R122" i="1"/>
  <c r="N172" i="1"/>
  <c r="N135" i="1"/>
  <c r="N98" i="1"/>
  <c r="N175" i="1"/>
  <c r="N138" i="1"/>
  <c r="N101" i="1"/>
  <c r="N178" i="1"/>
  <c r="N141" i="1"/>
  <c r="N104" i="1"/>
  <c r="R73" i="1"/>
  <c r="R54" i="1"/>
  <c r="R36" i="1"/>
  <c r="R17" i="1"/>
  <c r="R33" i="1"/>
  <c r="N9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27E3BB-9DC8-4CB4-B486-6A3B24D76D66}"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2" xr16:uid="{9FBF68E2-A17C-45AF-9620-CC655CEF72FA}" keepAlive="1" name="Query - Table3 (2)" description="Connection to the 'Table3 (2)' query in the workbook." type="5" refreshedVersion="8" background="1" saveData="1">
    <dbPr connection="Provider=Microsoft.Mashup.OleDb.1;Data Source=$Workbook$;Location=&quot;Table3 (2)&quot;;Extended Properties=&quot;&quot;" command="SELECT * FROM [Table3 (2)]"/>
  </connection>
</connections>
</file>

<file path=xl/sharedStrings.xml><?xml version="1.0" encoding="utf-8"?>
<sst xmlns="http://schemas.openxmlformats.org/spreadsheetml/2006/main" count="261" uniqueCount="50">
  <si>
    <t>Date</t>
  </si>
  <si>
    <t>Day</t>
  </si>
  <si>
    <t>Study_Hours</t>
  </si>
  <si>
    <t>Sleep_Hours</t>
  </si>
  <si>
    <t>Exercise_Hours</t>
  </si>
  <si>
    <t>Mobile_Hours</t>
  </si>
  <si>
    <t>Gaming_Hours</t>
  </si>
  <si>
    <t>TV_Hours</t>
  </si>
  <si>
    <t>Reading_Hours</t>
  </si>
  <si>
    <t>Mood_Score</t>
  </si>
  <si>
    <t>Goal_Achievement</t>
  </si>
  <si>
    <t>Total_Productive_Hours</t>
  </si>
  <si>
    <t>Unproductive_Hours</t>
  </si>
  <si>
    <t>Focus_Score</t>
  </si>
  <si>
    <t>Productivity_Index</t>
  </si>
  <si>
    <t>Wednesday</t>
  </si>
  <si>
    <t>Thursday</t>
  </si>
  <si>
    <t>Friday</t>
  </si>
  <si>
    <t>Saturday</t>
  </si>
  <si>
    <t>Sunday</t>
  </si>
  <si>
    <t>Monday</t>
  </si>
  <si>
    <t>Tuesday</t>
  </si>
  <si>
    <t xml:space="preserve">Planned Hours </t>
  </si>
  <si>
    <t>Month</t>
  </si>
  <si>
    <t>Week_Num</t>
  </si>
  <si>
    <t>Row Labels</t>
  </si>
  <si>
    <t>Grand Total</t>
  </si>
  <si>
    <t>Jan</t>
  </si>
  <si>
    <t>Feb</t>
  </si>
  <si>
    <t>Mar</t>
  </si>
  <si>
    <t>Apr</t>
  </si>
  <si>
    <t>May</t>
  </si>
  <si>
    <t>Jun</t>
  </si>
  <si>
    <t>Sum of Study_Hours</t>
  </si>
  <si>
    <t>Average of Study_Hours</t>
  </si>
  <si>
    <t>Average of Productivity_Index</t>
  </si>
  <si>
    <t>Sum of Total_Productive_Hours</t>
  </si>
  <si>
    <t>Sum of Unproductive_Hours</t>
  </si>
  <si>
    <t>Sum of Productivity</t>
  </si>
  <si>
    <t>Average of Goal_Achievement</t>
  </si>
  <si>
    <t>Average of Focus_Score</t>
  </si>
  <si>
    <t>Average of Total_Productive_Hours</t>
  </si>
  <si>
    <t>5-6</t>
  </si>
  <si>
    <t>6-7</t>
  </si>
  <si>
    <t>7-8</t>
  </si>
  <si>
    <t>8-9</t>
  </si>
  <si>
    <t xml:space="preserve">Sum of Planned Hours </t>
  </si>
  <si>
    <t>Average of Sleep_Hours</t>
  </si>
  <si>
    <t>Average of Hours</t>
  </si>
  <si>
    <t>Average of Mobile_Hours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</si>
</sst>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dd/mm/yyyy;@"/>
  </numFmts>
  <fonts count="1" x14ac:knownFonts="1">
    <font>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15">
    <xf numFmtId="0" fontId="0" fillId="0" borderId="0" xfId="0"/>
    <xf numFmtId="2" fontId="0" fillId="0" borderId="0" xfId="0" applyNumberFormat="1"/>
    <xf numFmtId="1" fontId="0" fillId="0" borderId="0" xfId="0" applyNumberFormat="1"/>
    <xf numFmtId="10" fontId="0" fillId="0" borderId="0" xfId="0" applyNumberFormat="1"/>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164" fontId="0" fillId="0" borderId="0" xfId="0" applyNumberFormat="1" applyAlignment="1">
      <alignment horizontal="left"/>
    </xf>
    <xf numFmtId="0" fontId="0" fillId="2" borderId="0" xfId="0" applyFill="1"/>
    <xf numFmtId="2" fontId="0" fillId="0" borderId="0" xfId="0" applyNumberFormat="1" applyAlignment="1">
      <alignment horizontal="left"/>
    </xf>
    <xf numFmtId="0" fontId="0" fillId="3" borderId="0" xfId="0" applyFill="1"/>
    <xf numFmtId="0" fontId="0" fillId="0" borderId="0" xfId="0" applyAlignment="1">
      <alignment vertical="top"/>
    </xf>
    <xf numFmtId="0" fontId="0" fillId="0" borderId="0" xfId="0" applyAlignment="1">
      <alignment wrapText="1"/>
    </xf>
  </cellXfs>
  <cellStyles count="1">
    <cellStyle name="Normal" xfId="0" builtinId="0"/>
  </cellStyles>
  <dxfs count="0"/>
  <tableStyles count="5" defaultTableStyle="TableStyleMedium2" defaultPivotStyle="PivotStyleLight16">
    <tableStyle name="Slicer Style 1" pivot="0" table="0" count="0" xr9:uid="{35277048-A827-4E22-8A7A-DE88A6D31856}"/>
    <tableStyle name="Slicer Style 2" pivot="0" table="0" count="2" xr9:uid="{23568B29-5485-4B4C-9F0E-7DBD30950D50}"/>
    <tableStyle name="Slicer Style 3" pivot="0" table="0" count="1" xr9:uid="{E0C00407-DC23-4125-A0BE-4E2C4D2DE5B4}"/>
    <tableStyle name="Slicer Style 4" pivot="0" table="0" count="1" xr9:uid="{1AE27792-9BFA-4314-BF02-63F6265EEE25}"/>
    <tableStyle name="Slicer Style 5" pivot="0" table="0" count="1" xr9:uid="{1916246A-3549-4826-B9B9-85963C6E9C59}"/>
  </tableStyles>
  <colors>
    <mruColors>
      <color rgb="FF858501"/>
      <color rgb="FF6F0560"/>
      <color rgb="FF547016"/>
      <color rgb="FF860086"/>
      <color rgb="FF569864"/>
      <color rgb="FFC7A5A7"/>
    </mruColors>
  </colors>
  <extLst>
    <ext xmlns:x14="http://schemas.microsoft.com/office/spreadsheetml/2009/9/main" uri="{46F421CA-312F-682f-3DD2-61675219B42D}">
      <x14:dxfs count="5">
        <dxf>
          <font>
            <color rgb="FF860086"/>
          </font>
        </dxf>
        <dxf>
          <font>
            <color rgb="FF858501"/>
          </font>
        </dxf>
        <dxf>
          <font>
            <color rgb="FF858501"/>
          </font>
        </dxf>
        <dxf>
          <font>
            <color rgb="FF860086"/>
          </font>
        </dxf>
        <dxf>
          <font>
            <color rgb="FF858501"/>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 type="hoveredSelectedItemWithNoData" dxfId="3"/>
          </x14:slicerStyleElements>
        </x14:slicerStyle>
        <x14:slicerStyle name="Slicer Style 3">
          <x14:slicerStyleElements>
            <x14:slicerStyleElement type="selectedItemWithData" dxfId="2"/>
          </x14:slicerStyleElements>
        </x14:slicerStyle>
        <x14:slicerStyle name="Slicer Style 4">
          <x14:slicerStyleElements>
            <x14:slicerStyleElement type="selectedItemWithNoData" dxfId="1"/>
          </x14:slicerStyleElements>
        </x14:slicerStyle>
        <x14:slicerStyle name="Slicer Style 5">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[student_productivity_Dashboard_25.xlsx]pivot Report!PivotTable5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10291080686513E-4"/>
          <c:y val="0.205195801311366"/>
          <c:w val="0.98891941623645796"/>
          <c:h val="0.62691499831083564"/>
        </c:manualLayout>
      </c:layout>
      <c:areaChart>
        <c:grouping val="standard"/>
        <c:varyColors val="0"/>
        <c:ser>
          <c:idx val="0"/>
          <c:order val="0"/>
          <c:tx>
            <c:strRef>
              <c:f>'pivot Report'!$H$37</c:f>
              <c:strCache>
                <c:ptCount val="1"/>
                <c:pt idx="0">
                  <c:v>Total</c:v>
                </c:pt>
              </c:strCache>
            </c:strRef>
          </c:tx>
          <c:spPr>
            <a:solidFill>
              <a:schemeClr val="accent2">
                <a:lumMod val="75000"/>
              </a:schemeClr>
            </a:solidFill>
            <a:ln>
              <a:noFill/>
            </a:ln>
            <a:effectLst/>
          </c:spPr>
          <c:cat>
            <c:strRef>
              <c:f>'pivot Report'!$G$38:$G$67</c:f>
              <c:strCache>
                <c:ptCount val="29"/>
                <c:pt idx="0">
                  <c:v>01-06-2025</c:v>
                </c:pt>
                <c:pt idx="1">
                  <c:v>02-06-2025</c:v>
                </c:pt>
                <c:pt idx="2">
                  <c:v>03-06-2025</c:v>
                </c:pt>
                <c:pt idx="3">
                  <c:v>04-06-2025</c:v>
                </c:pt>
                <c:pt idx="4">
                  <c:v>05-06-2025</c:v>
                </c:pt>
                <c:pt idx="5">
                  <c:v>06-06-2025</c:v>
                </c:pt>
                <c:pt idx="6">
                  <c:v>07-06-2025</c:v>
                </c:pt>
                <c:pt idx="7">
                  <c:v>08-06-2025</c:v>
                </c:pt>
                <c:pt idx="8">
                  <c:v>09-06-2025</c:v>
                </c:pt>
                <c:pt idx="9">
                  <c:v>10-06-2025</c:v>
                </c:pt>
                <c:pt idx="10">
                  <c:v>11-06-2025</c:v>
                </c:pt>
                <c:pt idx="11">
                  <c:v>12-06-2025</c:v>
                </c:pt>
                <c:pt idx="12">
                  <c:v>13-06-2025</c:v>
                </c:pt>
                <c:pt idx="13">
                  <c:v>14-06-2025</c:v>
                </c:pt>
                <c:pt idx="14">
                  <c:v>15-06-2025</c:v>
                </c:pt>
                <c:pt idx="15">
                  <c:v>16-06-2025</c:v>
                </c:pt>
                <c:pt idx="16">
                  <c:v>17-06-2025</c:v>
                </c:pt>
                <c:pt idx="17">
                  <c:v>18-06-2025</c:v>
                </c:pt>
                <c:pt idx="18">
                  <c:v>19-06-2025</c:v>
                </c:pt>
                <c:pt idx="19">
                  <c:v>20-06-2025</c:v>
                </c:pt>
                <c:pt idx="20">
                  <c:v>21-06-2025</c:v>
                </c:pt>
                <c:pt idx="21">
                  <c:v>22-06-2025</c:v>
                </c:pt>
                <c:pt idx="22">
                  <c:v>23-06-2025</c:v>
                </c:pt>
                <c:pt idx="23">
                  <c:v>24-06-2025</c:v>
                </c:pt>
                <c:pt idx="24">
                  <c:v>25-06-2025</c:v>
                </c:pt>
                <c:pt idx="25">
                  <c:v>26-06-2025</c:v>
                </c:pt>
                <c:pt idx="26">
                  <c:v>27-06-2025</c:v>
                </c:pt>
                <c:pt idx="27">
                  <c:v>28-06-2025</c:v>
                </c:pt>
                <c:pt idx="28">
                  <c:v>29-06-2025</c:v>
                </c:pt>
              </c:strCache>
            </c:strRef>
          </c:cat>
          <c:val>
            <c:numRef>
              <c:f>'pivot Report'!$H$38:$H$67</c:f>
              <c:numCache>
                <c:formatCode>0.00%</c:formatCode>
                <c:ptCount val="29"/>
                <c:pt idx="0">
                  <c:v>0.53203342618384397</c:v>
                </c:pt>
                <c:pt idx="1">
                  <c:v>0.3786488740617181</c:v>
                </c:pt>
                <c:pt idx="2">
                  <c:v>0.54387417218543044</c:v>
                </c:pt>
                <c:pt idx="3">
                  <c:v>0.53929712460063894</c:v>
                </c:pt>
                <c:pt idx="4">
                  <c:v>0.41108786610878661</c:v>
                </c:pt>
                <c:pt idx="5">
                  <c:v>0.62540453074433666</c:v>
                </c:pt>
                <c:pt idx="6">
                  <c:v>0.56059009483667011</c:v>
                </c:pt>
                <c:pt idx="7">
                  <c:v>0.47895408163265307</c:v>
                </c:pt>
                <c:pt idx="8">
                  <c:v>0.69380530973451326</c:v>
                </c:pt>
                <c:pt idx="9">
                  <c:v>0.59625000000000006</c:v>
                </c:pt>
                <c:pt idx="10">
                  <c:v>0.59763313609467461</c:v>
                </c:pt>
                <c:pt idx="11">
                  <c:v>0.64516129032258063</c:v>
                </c:pt>
                <c:pt idx="12">
                  <c:v>0.58672376873661669</c:v>
                </c:pt>
                <c:pt idx="13">
                  <c:v>0.50708024275118002</c:v>
                </c:pt>
                <c:pt idx="14">
                  <c:v>0.48742411101474409</c:v>
                </c:pt>
                <c:pt idx="15">
                  <c:v>0.58996138996139003</c:v>
                </c:pt>
                <c:pt idx="16">
                  <c:v>0.34330985915492956</c:v>
                </c:pt>
                <c:pt idx="17">
                  <c:v>0.56028938906752412</c:v>
                </c:pt>
                <c:pt idx="18">
                  <c:v>0.55990016638935114</c:v>
                </c:pt>
                <c:pt idx="19">
                  <c:v>0.42977824709609291</c:v>
                </c:pt>
                <c:pt idx="20">
                  <c:v>0.69918699186991873</c:v>
                </c:pt>
                <c:pt idx="21">
                  <c:v>0.54033485540334847</c:v>
                </c:pt>
                <c:pt idx="22">
                  <c:v>0.59230009871668321</c:v>
                </c:pt>
                <c:pt idx="23">
                  <c:v>0.39846153846153837</c:v>
                </c:pt>
                <c:pt idx="24">
                  <c:v>0.44427596664139496</c:v>
                </c:pt>
                <c:pt idx="25">
                  <c:v>0.57949125596184414</c:v>
                </c:pt>
                <c:pt idx="26">
                  <c:v>0.5475746268656716</c:v>
                </c:pt>
                <c:pt idx="27">
                  <c:v>0.57710064635272396</c:v>
                </c:pt>
                <c:pt idx="28">
                  <c:v>0.47760165403170224</c:v>
                </c:pt>
              </c:numCache>
            </c:numRef>
          </c:val>
          <c:extLst>
            <c:ext xmlns:c16="http://schemas.microsoft.com/office/drawing/2014/chart" uri="{C3380CC4-5D6E-409C-BE32-E72D297353CC}">
              <c16:uniqueId val="{00000000-EE6A-4D2E-98FB-462DA8B902AB}"/>
            </c:ext>
          </c:extLst>
        </c:ser>
        <c:dLbls>
          <c:showLegendKey val="0"/>
          <c:showVal val="0"/>
          <c:showCatName val="0"/>
          <c:showSerName val="0"/>
          <c:showPercent val="0"/>
          <c:showBubbleSize val="0"/>
        </c:dLbls>
        <c:axId val="2040048128"/>
        <c:axId val="2040040928"/>
      </c:areaChart>
      <c:catAx>
        <c:axId val="2040048128"/>
        <c:scaling>
          <c:orientation val="minMax"/>
        </c:scaling>
        <c:delete val="1"/>
        <c:axPos val="b"/>
        <c:numFmt formatCode="General" sourceLinked="1"/>
        <c:majorTickMark val="out"/>
        <c:minorTickMark val="none"/>
        <c:tickLblPos val="nextTo"/>
        <c:crossAx val="2040040928"/>
        <c:crosses val="autoZero"/>
        <c:auto val="1"/>
        <c:lblAlgn val="ctr"/>
        <c:lblOffset val="100"/>
        <c:noMultiLvlLbl val="0"/>
      </c:catAx>
      <c:valAx>
        <c:axId val="2040040928"/>
        <c:scaling>
          <c:orientation val="minMax"/>
        </c:scaling>
        <c:delete val="1"/>
        <c:axPos val="l"/>
        <c:numFmt formatCode="0.00%" sourceLinked="1"/>
        <c:majorTickMark val="none"/>
        <c:minorTickMark val="none"/>
        <c:tickLblPos val="nextTo"/>
        <c:crossAx val="20400481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[student_productivity_Dashboard_25.xlsx]pivot Report!PivotTable10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93309014846178"/>
          <c:y val="0.34168105652740582"/>
          <c:w val="0.77294270700474466"/>
          <c:h val="0.30191211003019125"/>
        </c:manualLayout>
      </c:layout>
      <c:areaChart>
        <c:grouping val="standard"/>
        <c:varyColors val="0"/>
        <c:ser>
          <c:idx val="0"/>
          <c:order val="0"/>
          <c:tx>
            <c:strRef>
              <c:f>'pivot Report'!$L$37</c:f>
              <c:strCache>
                <c:ptCount val="1"/>
                <c:pt idx="0">
                  <c:v>Total</c:v>
                </c:pt>
              </c:strCache>
            </c:strRef>
          </c:tx>
          <c:spPr>
            <a:solidFill>
              <a:schemeClr val="accent6">
                <a:lumMod val="50000"/>
              </a:schemeClr>
            </a:solidFill>
            <a:ln>
              <a:noFill/>
            </a:ln>
            <a:effectLst/>
          </c:spPr>
          <c:cat>
            <c:strRef>
              <c:f>'pivot Report'!$K$38:$K$67</c:f>
              <c:strCache>
                <c:ptCount val="29"/>
                <c:pt idx="0">
                  <c:v>01-06-2025</c:v>
                </c:pt>
                <c:pt idx="1">
                  <c:v>02-06-2025</c:v>
                </c:pt>
                <c:pt idx="2">
                  <c:v>03-06-2025</c:v>
                </c:pt>
                <c:pt idx="3">
                  <c:v>04-06-2025</c:v>
                </c:pt>
                <c:pt idx="4">
                  <c:v>05-06-2025</c:v>
                </c:pt>
                <c:pt idx="5">
                  <c:v>06-06-2025</c:v>
                </c:pt>
                <c:pt idx="6">
                  <c:v>07-06-2025</c:v>
                </c:pt>
                <c:pt idx="7">
                  <c:v>08-06-2025</c:v>
                </c:pt>
                <c:pt idx="8">
                  <c:v>09-06-2025</c:v>
                </c:pt>
                <c:pt idx="9">
                  <c:v>10-06-2025</c:v>
                </c:pt>
                <c:pt idx="10">
                  <c:v>11-06-2025</c:v>
                </c:pt>
                <c:pt idx="11">
                  <c:v>12-06-2025</c:v>
                </c:pt>
                <c:pt idx="12">
                  <c:v>13-06-2025</c:v>
                </c:pt>
                <c:pt idx="13">
                  <c:v>14-06-2025</c:v>
                </c:pt>
                <c:pt idx="14">
                  <c:v>15-06-2025</c:v>
                </c:pt>
                <c:pt idx="15">
                  <c:v>16-06-2025</c:v>
                </c:pt>
                <c:pt idx="16">
                  <c:v>17-06-2025</c:v>
                </c:pt>
                <c:pt idx="17">
                  <c:v>18-06-2025</c:v>
                </c:pt>
                <c:pt idx="18">
                  <c:v>19-06-2025</c:v>
                </c:pt>
                <c:pt idx="19">
                  <c:v>20-06-2025</c:v>
                </c:pt>
                <c:pt idx="20">
                  <c:v>21-06-2025</c:v>
                </c:pt>
                <c:pt idx="21">
                  <c:v>22-06-2025</c:v>
                </c:pt>
                <c:pt idx="22">
                  <c:v>23-06-2025</c:v>
                </c:pt>
                <c:pt idx="23">
                  <c:v>24-06-2025</c:v>
                </c:pt>
                <c:pt idx="24">
                  <c:v>25-06-2025</c:v>
                </c:pt>
                <c:pt idx="25">
                  <c:v>26-06-2025</c:v>
                </c:pt>
                <c:pt idx="26">
                  <c:v>27-06-2025</c:v>
                </c:pt>
                <c:pt idx="27">
                  <c:v>28-06-2025</c:v>
                </c:pt>
                <c:pt idx="28">
                  <c:v>29-06-2025</c:v>
                </c:pt>
              </c:strCache>
            </c:strRef>
          </c:cat>
          <c:val>
            <c:numRef>
              <c:f>'pivot Report'!$L$38:$L$67</c:f>
              <c:numCache>
                <c:formatCode>0.00%</c:formatCode>
                <c:ptCount val="29"/>
                <c:pt idx="0">
                  <c:v>0.76400000000000001</c:v>
                </c:pt>
                <c:pt idx="1">
                  <c:v>0.64857142857142869</c:v>
                </c:pt>
                <c:pt idx="2">
                  <c:v>0.93857142857142861</c:v>
                </c:pt>
                <c:pt idx="3">
                  <c:v>1</c:v>
                </c:pt>
                <c:pt idx="4">
                  <c:v>0.56142857142857139</c:v>
                </c:pt>
                <c:pt idx="5">
                  <c:v>1</c:v>
                </c:pt>
                <c:pt idx="6">
                  <c:v>1</c:v>
                </c:pt>
                <c:pt idx="7">
                  <c:v>1</c:v>
                </c:pt>
                <c:pt idx="8">
                  <c:v>1</c:v>
                </c:pt>
                <c:pt idx="9">
                  <c:v>0.68142857142857149</c:v>
                </c:pt>
                <c:pt idx="10">
                  <c:v>1</c:v>
                </c:pt>
                <c:pt idx="11">
                  <c:v>1</c:v>
                </c:pt>
                <c:pt idx="12">
                  <c:v>0.78285714285714281</c:v>
                </c:pt>
                <c:pt idx="13">
                  <c:v>1</c:v>
                </c:pt>
                <c:pt idx="14">
                  <c:v>1</c:v>
                </c:pt>
                <c:pt idx="15">
                  <c:v>1</c:v>
                </c:pt>
                <c:pt idx="16">
                  <c:v>0.55714285714285705</c:v>
                </c:pt>
                <c:pt idx="17">
                  <c:v>0.99571428571428566</c:v>
                </c:pt>
                <c:pt idx="18">
                  <c:v>0.96142857142857152</c:v>
                </c:pt>
                <c:pt idx="19">
                  <c:v>0.58142857142857152</c:v>
                </c:pt>
                <c:pt idx="20">
                  <c:v>1</c:v>
                </c:pt>
                <c:pt idx="21">
                  <c:v>1</c:v>
                </c:pt>
                <c:pt idx="22">
                  <c:v>0.8571428571428571</c:v>
                </c:pt>
                <c:pt idx="23">
                  <c:v>0.36999999999999994</c:v>
                </c:pt>
                <c:pt idx="24">
                  <c:v>0.83714285714285708</c:v>
                </c:pt>
                <c:pt idx="25">
                  <c:v>1</c:v>
                </c:pt>
                <c:pt idx="26">
                  <c:v>0.83857142857142841</c:v>
                </c:pt>
                <c:pt idx="27">
                  <c:v>1</c:v>
                </c:pt>
                <c:pt idx="28">
                  <c:v>1</c:v>
                </c:pt>
              </c:numCache>
            </c:numRef>
          </c:val>
          <c:extLst>
            <c:ext xmlns:c16="http://schemas.microsoft.com/office/drawing/2014/chart" uri="{C3380CC4-5D6E-409C-BE32-E72D297353CC}">
              <c16:uniqueId val="{00000000-1CC3-4ECF-8C07-78D5B7313AFF}"/>
            </c:ext>
          </c:extLst>
        </c:ser>
        <c:dLbls>
          <c:showLegendKey val="0"/>
          <c:showVal val="0"/>
          <c:showCatName val="0"/>
          <c:showSerName val="0"/>
          <c:showPercent val="0"/>
          <c:showBubbleSize val="0"/>
        </c:dLbls>
        <c:axId val="663937360"/>
        <c:axId val="663937840"/>
      </c:areaChart>
      <c:catAx>
        <c:axId val="663937360"/>
        <c:scaling>
          <c:orientation val="minMax"/>
        </c:scaling>
        <c:delete val="1"/>
        <c:axPos val="b"/>
        <c:numFmt formatCode="General" sourceLinked="1"/>
        <c:majorTickMark val="out"/>
        <c:minorTickMark val="none"/>
        <c:tickLblPos val="nextTo"/>
        <c:crossAx val="663937840"/>
        <c:crosses val="autoZero"/>
        <c:auto val="1"/>
        <c:lblAlgn val="ctr"/>
        <c:lblOffset val="100"/>
        <c:noMultiLvlLbl val="0"/>
      </c:catAx>
      <c:valAx>
        <c:axId val="663937840"/>
        <c:scaling>
          <c:orientation val="minMax"/>
        </c:scaling>
        <c:delete val="1"/>
        <c:axPos val="l"/>
        <c:numFmt formatCode="0.00%" sourceLinked="1"/>
        <c:majorTickMark val="none"/>
        <c:minorTickMark val="none"/>
        <c:tickLblPos val="nextTo"/>
        <c:crossAx val="6639373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[student_productivity_Dashboard_25.xlsx]pivot Report!PivotTable11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56786285294399E-2"/>
          <c:y val="1.0408596312170813E-2"/>
          <c:w val="0.94686672468307631"/>
          <c:h val="0.8191954595571993"/>
        </c:manualLayout>
      </c:layout>
      <c:areaChart>
        <c:grouping val="standard"/>
        <c:varyColors val="0"/>
        <c:ser>
          <c:idx val="0"/>
          <c:order val="0"/>
          <c:tx>
            <c:strRef>
              <c:f>'pivot Report'!$P$37</c:f>
              <c:strCache>
                <c:ptCount val="1"/>
                <c:pt idx="0">
                  <c:v>Total</c:v>
                </c:pt>
              </c:strCache>
            </c:strRef>
          </c:tx>
          <c:spPr>
            <a:solidFill>
              <a:schemeClr val="accent6">
                <a:lumMod val="50000"/>
              </a:schemeClr>
            </a:solidFill>
            <a:ln>
              <a:noFill/>
            </a:ln>
            <a:effectLst/>
          </c:spPr>
          <c:cat>
            <c:strRef>
              <c:f>'pivot Report'!$O$38:$O$67</c:f>
              <c:strCache>
                <c:ptCount val="29"/>
                <c:pt idx="0">
                  <c:v>01-06-2025</c:v>
                </c:pt>
                <c:pt idx="1">
                  <c:v>02-06-2025</c:v>
                </c:pt>
                <c:pt idx="2">
                  <c:v>03-06-2025</c:v>
                </c:pt>
                <c:pt idx="3">
                  <c:v>04-06-2025</c:v>
                </c:pt>
                <c:pt idx="4">
                  <c:v>05-06-2025</c:v>
                </c:pt>
                <c:pt idx="5">
                  <c:v>06-06-2025</c:v>
                </c:pt>
                <c:pt idx="6">
                  <c:v>07-06-2025</c:v>
                </c:pt>
                <c:pt idx="7">
                  <c:v>08-06-2025</c:v>
                </c:pt>
                <c:pt idx="8">
                  <c:v>09-06-2025</c:v>
                </c:pt>
                <c:pt idx="9">
                  <c:v>10-06-2025</c:v>
                </c:pt>
                <c:pt idx="10">
                  <c:v>11-06-2025</c:v>
                </c:pt>
                <c:pt idx="11">
                  <c:v>12-06-2025</c:v>
                </c:pt>
                <c:pt idx="12">
                  <c:v>13-06-2025</c:v>
                </c:pt>
                <c:pt idx="13">
                  <c:v>14-06-2025</c:v>
                </c:pt>
                <c:pt idx="14">
                  <c:v>15-06-2025</c:v>
                </c:pt>
                <c:pt idx="15">
                  <c:v>16-06-2025</c:v>
                </c:pt>
                <c:pt idx="16">
                  <c:v>17-06-2025</c:v>
                </c:pt>
                <c:pt idx="17">
                  <c:v>18-06-2025</c:v>
                </c:pt>
                <c:pt idx="18">
                  <c:v>19-06-2025</c:v>
                </c:pt>
                <c:pt idx="19">
                  <c:v>20-06-2025</c:v>
                </c:pt>
                <c:pt idx="20">
                  <c:v>21-06-2025</c:v>
                </c:pt>
                <c:pt idx="21">
                  <c:v>22-06-2025</c:v>
                </c:pt>
                <c:pt idx="22">
                  <c:v>23-06-2025</c:v>
                </c:pt>
                <c:pt idx="23">
                  <c:v>24-06-2025</c:v>
                </c:pt>
                <c:pt idx="24">
                  <c:v>25-06-2025</c:v>
                </c:pt>
                <c:pt idx="25">
                  <c:v>26-06-2025</c:v>
                </c:pt>
                <c:pt idx="26">
                  <c:v>27-06-2025</c:v>
                </c:pt>
                <c:pt idx="27">
                  <c:v>28-06-2025</c:v>
                </c:pt>
                <c:pt idx="28">
                  <c:v>29-06-2025</c:v>
                </c:pt>
              </c:strCache>
            </c:strRef>
          </c:cat>
          <c:val>
            <c:numRef>
              <c:f>'pivot Report'!$P$38:$P$67</c:f>
              <c:numCache>
                <c:formatCode>0.00</c:formatCode>
                <c:ptCount val="29"/>
                <c:pt idx="0">
                  <c:v>2.27</c:v>
                </c:pt>
                <c:pt idx="1">
                  <c:v>4.24</c:v>
                </c:pt>
                <c:pt idx="2">
                  <c:v>5.17</c:v>
                </c:pt>
                <c:pt idx="3">
                  <c:v>5.21</c:v>
                </c:pt>
                <c:pt idx="4">
                  <c:v>2.62</c:v>
                </c:pt>
                <c:pt idx="5">
                  <c:v>5.62</c:v>
                </c:pt>
                <c:pt idx="6">
                  <c:v>3.22</c:v>
                </c:pt>
                <c:pt idx="7">
                  <c:v>5.97</c:v>
                </c:pt>
                <c:pt idx="8">
                  <c:v>4.68</c:v>
                </c:pt>
                <c:pt idx="9">
                  <c:v>2.98</c:v>
                </c:pt>
                <c:pt idx="10">
                  <c:v>5.04</c:v>
                </c:pt>
                <c:pt idx="11">
                  <c:v>4.99</c:v>
                </c:pt>
                <c:pt idx="12">
                  <c:v>4.87</c:v>
                </c:pt>
                <c:pt idx="13">
                  <c:v>4.7</c:v>
                </c:pt>
                <c:pt idx="14">
                  <c:v>4.16</c:v>
                </c:pt>
                <c:pt idx="15">
                  <c:v>5.57</c:v>
                </c:pt>
                <c:pt idx="16">
                  <c:v>1.76</c:v>
                </c:pt>
                <c:pt idx="17">
                  <c:v>4.8499999999999996</c:v>
                </c:pt>
                <c:pt idx="18">
                  <c:v>5.16</c:v>
                </c:pt>
                <c:pt idx="19">
                  <c:v>1.43</c:v>
                </c:pt>
                <c:pt idx="20">
                  <c:v>2.5099999999999998</c:v>
                </c:pt>
                <c:pt idx="21">
                  <c:v>5.03</c:v>
                </c:pt>
                <c:pt idx="22">
                  <c:v>4.26</c:v>
                </c:pt>
                <c:pt idx="23">
                  <c:v>2.2599999999999998</c:v>
                </c:pt>
                <c:pt idx="24">
                  <c:v>4.62</c:v>
                </c:pt>
                <c:pt idx="25">
                  <c:v>4.16</c:v>
                </c:pt>
                <c:pt idx="26">
                  <c:v>3.45</c:v>
                </c:pt>
                <c:pt idx="27">
                  <c:v>3.79</c:v>
                </c:pt>
                <c:pt idx="28">
                  <c:v>4.68</c:v>
                </c:pt>
              </c:numCache>
            </c:numRef>
          </c:val>
          <c:extLst>
            <c:ext xmlns:c16="http://schemas.microsoft.com/office/drawing/2014/chart" uri="{C3380CC4-5D6E-409C-BE32-E72D297353CC}">
              <c16:uniqueId val="{00000000-CC66-44F3-9144-F2E0735CE60A}"/>
            </c:ext>
          </c:extLst>
        </c:ser>
        <c:dLbls>
          <c:showLegendKey val="0"/>
          <c:showVal val="0"/>
          <c:showCatName val="0"/>
          <c:showSerName val="0"/>
          <c:showPercent val="0"/>
          <c:showBubbleSize val="0"/>
        </c:dLbls>
        <c:axId val="663887920"/>
        <c:axId val="663893680"/>
      </c:areaChart>
      <c:catAx>
        <c:axId val="663887920"/>
        <c:scaling>
          <c:orientation val="minMax"/>
        </c:scaling>
        <c:delete val="1"/>
        <c:axPos val="b"/>
        <c:numFmt formatCode="General" sourceLinked="1"/>
        <c:majorTickMark val="out"/>
        <c:minorTickMark val="none"/>
        <c:tickLblPos val="nextTo"/>
        <c:crossAx val="663893680"/>
        <c:crosses val="autoZero"/>
        <c:auto val="1"/>
        <c:lblAlgn val="ctr"/>
        <c:lblOffset val="100"/>
        <c:noMultiLvlLbl val="0"/>
      </c:catAx>
      <c:valAx>
        <c:axId val="663893680"/>
        <c:scaling>
          <c:orientation val="minMax"/>
        </c:scaling>
        <c:delete val="1"/>
        <c:axPos val="l"/>
        <c:numFmt formatCode="0.00" sourceLinked="1"/>
        <c:majorTickMark val="none"/>
        <c:minorTickMark val="none"/>
        <c:tickLblPos val="nextTo"/>
        <c:crossAx val="663887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[student_productivity_Dashboard_25.xlsx]pivot Report!weekly_performance</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Report'!$B$63</c:f>
              <c:strCache>
                <c:ptCount val="1"/>
                <c:pt idx="0">
                  <c:v>Sum of Planned Hours </c:v>
                </c:pt>
              </c:strCache>
            </c:strRef>
          </c:tx>
          <c:spPr>
            <a:solidFill>
              <a:schemeClr val="accent1"/>
            </a:solidFill>
            <a:ln>
              <a:noFill/>
            </a:ln>
            <a:effectLst/>
          </c:spPr>
          <c:invertIfNegative val="0"/>
          <c:cat>
            <c:strRef>
              <c:f>'pivot Report'!$A$64:$A$69</c:f>
              <c:strCache>
                <c:ptCount val="5"/>
                <c:pt idx="0">
                  <c:v>22</c:v>
                </c:pt>
                <c:pt idx="1">
                  <c:v>23</c:v>
                </c:pt>
                <c:pt idx="2">
                  <c:v>24</c:v>
                </c:pt>
                <c:pt idx="3">
                  <c:v>25</c:v>
                </c:pt>
                <c:pt idx="4">
                  <c:v>26</c:v>
                </c:pt>
              </c:strCache>
            </c:strRef>
          </c:cat>
          <c:val>
            <c:numRef>
              <c:f>'pivot Report'!$B$64:$B$69</c:f>
              <c:numCache>
                <c:formatCode>0</c:formatCode>
                <c:ptCount val="5"/>
                <c:pt idx="0">
                  <c:v>5</c:v>
                </c:pt>
                <c:pt idx="1">
                  <c:v>45</c:v>
                </c:pt>
                <c:pt idx="2">
                  <c:v>45</c:v>
                </c:pt>
                <c:pt idx="3">
                  <c:v>45</c:v>
                </c:pt>
                <c:pt idx="4">
                  <c:v>45</c:v>
                </c:pt>
              </c:numCache>
            </c:numRef>
          </c:val>
          <c:extLst>
            <c:ext xmlns:c16="http://schemas.microsoft.com/office/drawing/2014/chart" uri="{C3380CC4-5D6E-409C-BE32-E72D297353CC}">
              <c16:uniqueId val="{00000000-A684-462A-829F-AB91CDD2E14E}"/>
            </c:ext>
          </c:extLst>
        </c:ser>
        <c:ser>
          <c:idx val="1"/>
          <c:order val="1"/>
          <c:tx>
            <c:strRef>
              <c:f>'pivot Report'!$C$63</c:f>
              <c:strCache>
                <c:ptCount val="1"/>
                <c:pt idx="0">
                  <c:v>Sum of Total_Productive_Hours</c:v>
                </c:pt>
              </c:strCache>
            </c:strRef>
          </c:tx>
          <c:spPr>
            <a:solidFill>
              <a:schemeClr val="accent2"/>
            </a:solidFill>
            <a:ln>
              <a:noFill/>
            </a:ln>
            <a:effectLst/>
          </c:spPr>
          <c:invertIfNegative val="0"/>
          <c:cat>
            <c:strRef>
              <c:f>'pivot Report'!$A$64:$A$69</c:f>
              <c:strCache>
                <c:ptCount val="5"/>
                <c:pt idx="0">
                  <c:v>22</c:v>
                </c:pt>
                <c:pt idx="1">
                  <c:v>23</c:v>
                </c:pt>
                <c:pt idx="2">
                  <c:v>24</c:v>
                </c:pt>
                <c:pt idx="3">
                  <c:v>25</c:v>
                </c:pt>
                <c:pt idx="4">
                  <c:v>26</c:v>
                </c:pt>
              </c:strCache>
            </c:strRef>
          </c:cat>
          <c:val>
            <c:numRef>
              <c:f>'pivot Report'!$C$64:$C$69</c:f>
              <c:numCache>
                <c:formatCode>0.00</c:formatCode>
                <c:ptCount val="5"/>
                <c:pt idx="0">
                  <c:v>3.8200000000000003</c:v>
                </c:pt>
                <c:pt idx="1">
                  <c:v>44.04</c:v>
                </c:pt>
                <c:pt idx="2">
                  <c:v>45.900000000000006</c:v>
                </c:pt>
                <c:pt idx="3">
                  <c:v>41.57</c:v>
                </c:pt>
                <c:pt idx="4">
                  <c:v>40.789999999999992</c:v>
                </c:pt>
              </c:numCache>
            </c:numRef>
          </c:val>
          <c:extLst>
            <c:ext xmlns:c16="http://schemas.microsoft.com/office/drawing/2014/chart" uri="{C3380CC4-5D6E-409C-BE32-E72D297353CC}">
              <c16:uniqueId val="{00000001-A684-462A-829F-AB91CDD2E14E}"/>
            </c:ext>
          </c:extLst>
        </c:ser>
        <c:dLbls>
          <c:showLegendKey val="0"/>
          <c:showVal val="0"/>
          <c:showCatName val="0"/>
          <c:showSerName val="0"/>
          <c:showPercent val="0"/>
          <c:showBubbleSize val="0"/>
        </c:dLbls>
        <c:gapWidth val="219"/>
        <c:overlap val="-27"/>
        <c:axId val="947844943"/>
        <c:axId val="947850703"/>
      </c:barChart>
      <c:lineChart>
        <c:grouping val="standard"/>
        <c:varyColors val="0"/>
        <c:ser>
          <c:idx val="2"/>
          <c:order val="2"/>
          <c:tx>
            <c:strRef>
              <c:f>'pivot Report'!$D$63</c:f>
              <c:strCache>
                <c:ptCount val="1"/>
                <c:pt idx="0">
                  <c:v>Average of Goal_Achievement</c:v>
                </c:pt>
              </c:strCache>
            </c:strRef>
          </c:tx>
          <c:spPr>
            <a:ln w="28575" cap="rnd">
              <a:solidFill>
                <a:schemeClr val="accent3"/>
              </a:solidFill>
              <a:round/>
            </a:ln>
            <a:effectLst/>
          </c:spPr>
          <c:marker>
            <c:symbol val="none"/>
          </c:marker>
          <c:cat>
            <c:strRef>
              <c:f>'pivot Report'!$A$64:$A$69</c:f>
              <c:strCache>
                <c:ptCount val="5"/>
                <c:pt idx="0">
                  <c:v>22</c:v>
                </c:pt>
                <c:pt idx="1">
                  <c:v>23</c:v>
                </c:pt>
                <c:pt idx="2">
                  <c:v>24</c:v>
                </c:pt>
                <c:pt idx="3">
                  <c:v>25</c:v>
                </c:pt>
                <c:pt idx="4">
                  <c:v>26</c:v>
                </c:pt>
              </c:strCache>
            </c:strRef>
          </c:cat>
          <c:val>
            <c:numRef>
              <c:f>'pivot Report'!$D$64:$D$69</c:f>
              <c:numCache>
                <c:formatCode>0.00%</c:formatCode>
                <c:ptCount val="5"/>
                <c:pt idx="0">
                  <c:v>0.76400000000000001</c:v>
                </c:pt>
                <c:pt idx="1">
                  <c:v>0.8783673469387755</c:v>
                </c:pt>
                <c:pt idx="2">
                  <c:v>0.92346938775510201</c:v>
                </c:pt>
                <c:pt idx="3">
                  <c:v>0.87081632653061214</c:v>
                </c:pt>
                <c:pt idx="4">
                  <c:v>0.84326530612244888</c:v>
                </c:pt>
              </c:numCache>
            </c:numRef>
          </c:val>
          <c:smooth val="0"/>
          <c:extLst>
            <c:ext xmlns:c16="http://schemas.microsoft.com/office/drawing/2014/chart" uri="{C3380CC4-5D6E-409C-BE32-E72D297353CC}">
              <c16:uniqueId val="{00000002-A684-462A-829F-AB91CDD2E14E}"/>
            </c:ext>
          </c:extLst>
        </c:ser>
        <c:dLbls>
          <c:showLegendKey val="0"/>
          <c:showVal val="0"/>
          <c:showCatName val="0"/>
          <c:showSerName val="0"/>
          <c:showPercent val="0"/>
          <c:showBubbleSize val="0"/>
        </c:dLbls>
        <c:marker val="1"/>
        <c:smooth val="0"/>
        <c:axId val="938578751"/>
        <c:axId val="938583551"/>
      </c:lineChart>
      <c:catAx>
        <c:axId val="9478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850703"/>
        <c:crosses val="autoZero"/>
        <c:auto val="1"/>
        <c:lblAlgn val="ctr"/>
        <c:lblOffset val="100"/>
        <c:noMultiLvlLbl val="0"/>
      </c:catAx>
      <c:valAx>
        <c:axId val="94785070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844943"/>
        <c:crosses val="autoZero"/>
        <c:crossBetween val="between"/>
      </c:valAx>
      <c:valAx>
        <c:axId val="9385835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578751"/>
        <c:crosses val="max"/>
        <c:crossBetween val="between"/>
      </c:valAx>
      <c:catAx>
        <c:axId val="938578751"/>
        <c:scaling>
          <c:orientation val="minMax"/>
        </c:scaling>
        <c:delete val="1"/>
        <c:axPos val="b"/>
        <c:numFmt formatCode="General" sourceLinked="1"/>
        <c:majorTickMark val="out"/>
        <c:minorTickMark val="none"/>
        <c:tickLblPos val="nextTo"/>
        <c:crossAx val="93858355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[student_productivity_Dashboard_25.xlsx]pivot Report!Daily_habits</c:name>
    <c:fmtId val="17"/>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1.1111111111111112E-2"/>
              <c:y val="-4.6296296296297144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2.7777777777777776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2.7777777777778798E-3"/>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4.4444444444444446E-2"/>
              <c:y val="9.2592592592592483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2.5462668816039986E-17"/>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2.7777777777778798E-3"/>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2.7777777777777776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1.1111111111111112E-2"/>
              <c:y val="-4.6296296296297144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2.5462668816039986E-17"/>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4.4444444444444446E-2"/>
              <c:y val="9.2592592592592483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4.05737727831452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1167419792919343"/>
                  <c:h val="0.18481556852878989"/>
                </c:manualLayout>
              </c15:layout>
            </c:ext>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4241940022698951E-2"/>
              <c:y val="8.73835565873701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66960915263379"/>
                  <c:h val="0.18481556852878989"/>
                </c:manualLayout>
              </c15:layout>
            </c:ext>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2.3668034123501346E-2"/>
              <c:y val="2.57009270142241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351090393520337"/>
                  <c:h val="0.12835042950903539"/>
                </c:manualLayout>
              </c15:layout>
            </c:ext>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6905605543591381E-2"/>
              <c:y val="-6.68224102369828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983338396180525"/>
                  <c:h val="0.12835042950903539"/>
                </c:manualLayout>
              </c15:layout>
            </c:ext>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3042455217425985E-2"/>
              <c:y val="1.54204628287620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174261158876835"/>
                  <c:h val="0.12835025304704575"/>
                </c:manualLayout>
              </c15:layout>
            </c:ext>
          </c:extLst>
        </c:dLbl>
      </c:pivotFmt>
    </c:pivotFmts>
    <c:plotArea>
      <c:layout/>
      <c:pieChart>
        <c:varyColors val="1"/>
        <c:ser>
          <c:idx val="0"/>
          <c:order val="0"/>
          <c:tx>
            <c:strRef>
              <c:f>'pivot Report'!$B$80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401-481A-9D86-D2516E770F2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401-481A-9D86-D2516E770F2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401-481A-9D86-D2516E770F2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401-481A-9D86-D2516E770F2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401-481A-9D86-D2516E770F2B}"/>
              </c:ext>
            </c:extLst>
          </c:dPt>
          <c:dLbls>
            <c:dLbl>
              <c:idx val="0"/>
              <c:layout>
                <c:manualLayout>
                  <c:x val="-4.057377278314523E-2"/>
                  <c:y val="0"/>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1167419792919343"/>
                      <c:h val="0.18481556852878989"/>
                    </c:manualLayout>
                  </c15:layout>
                </c:ext>
                <c:ext xmlns:c16="http://schemas.microsoft.com/office/drawing/2014/chart" uri="{C3380CC4-5D6E-409C-BE32-E72D297353CC}">
                  <c16:uniqueId val="{00000001-A401-481A-9D86-D2516E770F2B}"/>
                </c:ext>
              </c:extLst>
            </c:dLbl>
            <c:dLbl>
              <c:idx val="1"/>
              <c:layout>
                <c:manualLayout>
                  <c:x val="-6.4241940022698951E-2"/>
                  <c:y val="8.738355658737019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766960915263379"/>
                      <c:h val="0.18481556852878989"/>
                    </c:manualLayout>
                  </c15:layout>
                </c:ext>
                <c:ext xmlns:c16="http://schemas.microsoft.com/office/drawing/2014/chart" uri="{C3380CC4-5D6E-409C-BE32-E72D297353CC}">
                  <c16:uniqueId val="{00000003-A401-481A-9D86-D2516E770F2B}"/>
                </c:ext>
              </c:extLst>
            </c:dLbl>
            <c:dLbl>
              <c:idx val="2"/>
              <c:layout>
                <c:manualLayout>
                  <c:x val="-2.3668034123501346E-2"/>
                  <c:y val="2.570092701422414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351090393520337"/>
                      <c:h val="0.12835042950903539"/>
                    </c:manualLayout>
                  </c15:layout>
                </c:ext>
                <c:ext xmlns:c16="http://schemas.microsoft.com/office/drawing/2014/chart" uri="{C3380CC4-5D6E-409C-BE32-E72D297353CC}">
                  <c16:uniqueId val="{00000005-A401-481A-9D86-D2516E770F2B}"/>
                </c:ext>
              </c:extLst>
            </c:dLbl>
            <c:dLbl>
              <c:idx val="3"/>
              <c:layout>
                <c:manualLayout>
                  <c:x val="-1.6905605543591381E-2"/>
                  <c:y val="-6.682241023698287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983338396180525"/>
                      <c:h val="0.12835042950903539"/>
                    </c:manualLayout>
                  </c15:layout>
                </c:ext>
                <c:ext xmlns:c16="http://schemas.microsoft.com/office/drawing/2014/chart" uri="{C3380CC4-5D6E-409C-BE32-E72D297353CC}">
                  <c16:uniqueId val="{00000007-A401-481A-9D86-D2516E770F2B}"/>
                </c:ext>
              </c:extLst>
            </c:dLbl>
            <c:dLbl>
              <c:idx val="4"/>
              <c:layout>
                <c:manualLayout>
                  <c:x val="3.3042455217425985E-2"/>
                  <c:y val="1.542046282876205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9174261158876835"/>
                      <c:h val="0.12835025304704575"/>
                    </c:manualLayout>
                  </c15:layout>
                </c:ext>
                <c:ext xmlns:c16="http://schemas.microsoft.com/office/drawing/2014/chart" uri="{C3380CC4-5D6E-409C-BE32-E72D297353CC}">
                  <c16:uniqueId val="{00000009-A401-481A-9D86-D2516E770F2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Report'!$A$81:$A$86</c:f>
              <c:strCache>
                <c:ptCount val="5"/>
                <c:pt idx="0">
                  <c:v>Exercise_Hours</c:v>
                </c:pt>
                <c:pt idx="1">
                  <c:v>Gaming_Hours</c:v>
                </c:pt>
                <c:pt idx="2">
                  <c:v>Mobile_Hours</c:v>
                </c:pt>
                <c:pt idx="3">
                  <c:v>Sleep_Hours</c:v>
                </c:pt>
                <c:pt idx="4">
                  <c:v>Study_Hours</c:v>
                </c:pt>
              </c:strCache>
            </c:strRef>
          </c:cat>
          <c:val>
            <c:numRef>
              <c:f>'pivot Report'!$B$81:$B$86</c:f>
              <c:numCache>
                <c:formatCode>0%</c:formatCode>
                <c:ptCount val="5"/>
                <c:pt idx="0">
                  <c:v>1.1261538461538461</c:v>
                </c:pt>
                <c:pt idx="1">
                  <c:v>1.3703846153846155</c:v>
                </c:pt>
                <c:pt idx="2">
                  <c:v>3.1784615384615389</c:v>
                </c:pt>
                <c:pt idx="3">
                  <c:v>6.8961538461538456</c:v>
                </c:pt>
                <c:pt idx="4">
                  <c:v>3.1900000000000008</c:v>
                </c:pt>
              </c:numCache>
            </c:numRef>
          </c:val>
          <c:extLst>
            <c:ext xmlns:c16="http://schemas.microsoft.com/office/drawing/2014/chart" uri="{C3380CC4-5D6E-409C-BE32-E72D297353CC}">
              <c16:uniqueId val="{0000000A-A401-481A-9D86-D2516E770F2B}"/>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[student_productivity_Dashboard_25.xlsx]pivot Report!Focus_Score</c:name>
    <c:fmtId val="3"/>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40156103906662E-2"/>
          <c:y val="0.22981985961053183"/>
          <c:w val="0.80631575914445286"/>
          <c:h val="0.51630321910695742"/>
        </c:manualLayout>
      </c:layout>
      <c:lineChart>
        <c:grouping val="standard"/>
        <c:varyColors val="0"/>
        <c:ser>
          <c:idx val="0"/>
          <c:order val="0"/>
          <c:tx>
            <c:strRef>
              <c:f>'pivot Report'!$B$89</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Report'!$A$90:$A$95</c:f>
              <c:strCache>
                <c:ptCount val="5"/>
                <c:pt idx="0">
                  <c:v>22</c:v>
                </c:pt>
                <c:pt idx="1">
                  <c:v>23</c:v>
                </c:pt>
                <c:pt idx="2">
                  <c:v>24</c:v>
                </c:pt>
                <c:pt idx="3">
                  <c:v>25</c:v>
                </c:pt>
                <c:pt idx="4">
                  <c:v>26</c:v>
                </c:pt>
              </c:strCache>
            </c:strRef>
          </c:cat>
          <c:val>
            <c:numRef>
              <c:f>'pivot Report'!$B$90:$B$95</c:f>
              <c:numCache>
                <c:formatCode>0.00</c:formatCode>
                <c:ptCount val="5"/>
                <c:pt idx="0">
                  <c:v>3.2209999999999996</c:v>
                </c:pt>
                <c:pt idx="1">
                  <c:v>3.4744285714285712</c:v>
                </c:pt>
                <c:pt idx="2">
                  <c:v>3.6478571428571436</c:v>
                </c:pt>
                <c:pt idx="3">
                  <c:v>3.4175714285714283</c:v>
                </c:pt>
                <c:pt idx="4">
                  <c:v>3.4227142857142852</c:v>
                </c:pt>
              </c:numCache>
            </c:numRef>
          </c:val>
          <c:smooth val="0"/>
          <c:extLst>
            <c:ext xmlns:c16="http://schemas.microsoft.com/office/drawing/2014/chart" uri="{C3380CC4-5D6E-409C-BE32-E72D297353CC}">
              <c16:uniqueId val="{00000000-827F-4050-AAAD-25F467F34A84}"/>
            </c:ext>
          </c:extLst>
        </c:ser>
        <c:dLbls>
          <c:showLegendKey val="0"/>
          <c:showVal val="0"/>
          <c:showCatName val="0"/>
          <c:showSerName val="0"/>
          <c:showPercent val="0"/>
          <c:showBubbleSize val="0"/>
        </c:dLbls>
        <c:marker val="1"/>
        <c:smooth val="0"/>
        <c:axId val="294971679"/>
        <c:axId val="928081407"/>
      </c:lineChart>
      <c:catAx>
        <c:axId val="294971679"/>
        <c:scaling>
          <c:orientation val="minMax"/>
        </c:scaling>
        <c:delete val="1"/>
        <c:axPos val="b"/>
        <c:numFmt formatCode="General" sourceLinked="1"/>
        <c:majorTickMark val="none"/>
        <c:minorTickMark val="none"/>
        <c:tickLblPos val="nextTo"/>
        <c:crossAx val="928081407"/>
        <c:crosses val="autoZero"/>
        <c:auto val="1"/>
        <c:lblAlgn val="ctr"/>
        <c:lblOffset val="100"/>
        <c:noMultiLvlLbl val="0"/>
      </c:catAx>
      <c:valAx>
        <c:axId val="928081407"/>
        <c:scaling>
          <c:orientation val="minMax"/>
        </c:scaling>
        <c:delete val="1"/>
        <c:axPos val="l"/>
        <c:numFmt formatCode="0.00" sourceLinked="1"/>
        <c:majorTickMark val="none"/>
        <c:minorTickMark val="none"/>
        <c:tickLblPos val="nextTo"/>
        <c:crossAx val="29497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[student_productivity_Dashboard_25.xlsx]pivot Report!Monthly_Performance</c:name>
    <c:fmtId val="3"/>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301700828608807E-2"/>
          <c:y val="6.7138409577588752E-3"/>
          <c:w val="0.87790377296569289"/>
          <c:h val="0.83446008898465751"/>
        </c:manualLayout>
      </c:layout>
      <c:barChart>
        <c:barDir val="col"/>
        <c:grouping val="clustered"/>
        <c:varyColors val="0"/>
        <c:ser>
          <c:idx val="0"/>
          <c:order val="0"/>
          <c:tx>
            <c:strRef>
              <c:f>'pivot Report'!$A$13</c:f>
              <c:strCache>
                <c:ptCount val="1"/>
                <c:pt idx="0">
                  <c:v>Average of Study_Hours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Report'!$A$14</c:f>
              <c:strCache>
                <c:ptCount val="1"/>
                <c:pt idx="0">
                  <c:v>Total</c:v>
                </c:pt>
              </c:strCache>
            </c:strRef>
          </c:cat>
          <c:val>
            <c:numRef>
              <c:f>'pivot Report'!$A$14</c:f>
              <c:numCache>
                <c:formatCode>0.00</c:formatCode>
                <c:ptCount val="1"/>
                <c:pt idx="0">
                  <c:v>4.1127586206896556</c:v>
                </c:pt>
              </c:numCache>
            </c:numRef>
          </c:val>
          <c:extLst>
            <c:ext xmlns:c16="http://schemas.microsoft.com/office/drawing/2014/chart" uri="{C3380CC4-5D6E-409C-BE32-E72D297353CC}">
              <c16:uniqueId val="{00000000-8ACC-4E3C-8417-1BF601FE1755}"/>
            </c:ext>
          </c:extLst>
        </c:ser>
        <c:ser>
          <c:idx val="1"/>
          <c:order val="1"/>
          <c:tx>
            <c:strRef>
              <c:f>'pivot Report'!$B$13</c:f>
              <c:strCache>
                <c:ptCount val="1"/>
                <c:pt idx="0">
                  <c:v>Average of Focus_Score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Report'!$A$14</c:f>
              <c:strCache>
                <c:ptCount val="1"/>
                <c:pt idx="0">
                  <c:v>Total</c:v>
                </c:pt>
              </c:strCache>
            </c:strRef>
          </c:cat>
          <c:val>
            <c:numRef>
              <c:f>'pivot Report'!$B$14</c:f>
              <c:numCache>
                <c:formatCode>0.00</c:formatCode>
                <c:ptCount val="1"/>
                <c:pt idx="0">
                  <c:v>3.4813448275862076</c:v>
                </c:pt>
              </c:numCache>
            </c:numRef>
          </c:val>
          <c:extLst>
            <c:ext xmlns:c16="http://schemas.microsoft.com/office/drawing/2014/chart" uri="{C3380CC4-5D6E-409C-BE32-E72D297353CC}">
              <c16:uniqueId val="{00000001-8ACC-4E3C-8417-1BF601FE1755}"/>
            </c:ext>
          </c:extLst>
        </c:ser>
        <c:ser>
          <c:idx val="2"/>
          <c:order val="2"/>
          <c:tx>
            <c:strRef>
              <c:f>'pivot Report'!$C$13</c:f>
              <c:strCache>
                <c:ptCount val="1"/>
                <c:pt idx="0">
                  <c:v>Average of Sleep_Hours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Report'!$A$14</c:f>
              <c:strCache>
                <c:ptCount val="1"/>
                <c:pt idx="0">
                  <c:v>Total</c:v>
                </c:pt>
              </c:strCache>
            </c:strRef>
          </c:cat>
          <c:val>
            <c:numRef>
              <c:f>'pivot Report'!$C$14</c:f>
              <c:numCache>
                <c:formatCode>0.00</c:formatCode>
                <c:ptCount val="1"/>
                <c:pt idx="0">
                  <c:v>6.8979310344827587</c:v>
                </c:pt>
              </c:numCache>
            </c:numRef>
          </c:val>
          <c:extLst>
            <c:ext xmlns:c16="http://schemas.microsoft.com/office/drawing/2014/chart" uri="{C3380CC4-5D6E-409C-BE32-E72D297353CC}">
              <c16:uniqueId val="{00000002-8ACC-4E3C-8417-1BF601FE1755}"/>
            </c:ext>
          </c:extLst>
        </c:ser>
        <c:dLbls>
          <c:dLblPos val="outEnd"/>
          <c:showLegendKey val="0"/>
          <c:showVal val="1"/>
          <c:showCatName val="0"/>
          <c:showSerName val="0"/>
          <c:showPercent val="0"/>
          <c:showBubbleSize val="0"/>
        </c:dLbls>
        <c:gapWidth val="100"/>
        <c:overlap val="-24"/>
        <c:axId val="1678753631"/>
        <c:axId val="1678762751"/>
      </c:barChart>
      <c:catAx>
        <c:axId val="1678753631"/>
        <c:scaling>
          <c:orientation val="minMax"/>
        </c:scaling>
        <c:delete val="1"/>
        <c:axPos val="b"/>
        <c:numFmt formatCode="General" sourceLinked="1"/>
        <c:majorTickMark val="none"/>
        <c:minorTickMark val="none"/>
        <c:tickLblPos val="nextTo"/>
        <c:crossAx val="1678762751"/>
        <c:crosses val="autoZero"/>
        <c:auto val="1"/>
        <c:lblAlgn val="ctr"/>
        <c:lblOffset val="100"/>
        <c:noMultiLvlLbl val="0"/>
      </c:catAx>
      <c:valAx>
        <c:axId val="1678762751"/>
        <c:scaling>
          <c:orientation val="minMax"/>
        </c:scaling>
        <c:delete val="1"/>
        <c:axPos val="l"/>
        <c:numFmt formatCode="0.00" sourceLinked="1"/>
        <c:majorTickMark val="none"/>
        <c:minorTickMark val="none"/>
        <c:tickLblPos val="nextTo"/>
        <c:crossAx val="167875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[student_productivity_Dashboard_25.xlsx]pivot Report!impact_on_study</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05818134182943E-2"/>
          <c:y val="7.9191320757554112E-2"/>
          <c:w val="0.86544440944881895"/>
          <c:h val="0.73358525908404926"/>
        </c:manualLayout>
      </c:layout>
      <c:lineChart>
        <c:grouping val="standard"/>
        <c:varyColors val="0"/>
        <c:ser>
          <c:idx val="0"/>
          <c:order val="0"/>
          <c:tx>
            <c:strRef>
              <c:f>'pivot Report'!$B$100</c:f>
              <c:strCache>
                <c:ptCount val="1"/>
                <c:pt idx="0">
                  <c:v>Average of Study_Hours</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Report'!$A$101:$A$106</c:f>
              <c:strCache>
                <c:ptCount val="5"/>
                <c:pt idx="0">
                  <c:v>22</c:v>
                </c:pt>
                <c:pt idx="1">
                  <c:v>23</c:v>
                </c:pt>
                <c:pt idx="2">
                  <c:v>24</c:v>
                </c:pt>
                <c:pt idx="3">
                  <c:v>25</c:v>
                </c:pt>
                <c:pt idx="4">
                  <c:v>26</c:v>
                </c:pt>
              </c:strCache>
            </c:strRef>
          </c:cat>
          <c:val>
            <c:numRef>
              <c:f>'pivot Report'!$B$101:$B$106</c:f>
              <c:numCache>
                <c:formatCode>0.00</c:formatCode>
                <c:ptCount val="5"/>
                <c:pt idx="0">
                  <c:v>2.27</c:v>
                </c:pt>
                <c:pt idx="1">
                  <c:v>4.5785714285714292</c:v>
                </c:pt>
                <c:pt idx="2">
                  <c:v>4.4885714285714284</c:v>
                </c:pt>
                <c:pt idx="3">
                  <c:v>3.7585714285714289</c:v>
                </c:pt>
                <c:pt idx="4">
                  <c:v>3.8885714285714283</c:v>
                </c:pt>
              </c:numCache>
            </c:numRef>
          </c:val>
          <c:smooth val="0"/>
          <c:extLst>
            <c:ext xmlns:c16="http://schemas.microsoft.com/office/drawing/2014/chart" uri="{C3380CC4-5D6E-409C-BE32-E72D297353CC}">
              <c16:uniqueId val="{00000000-624D-4451-9CDF-F3026C49DA4A}"/>
            </c:ext>
          </c:extLst>
        </c:ser>
        <c:ser>
          <c:idx val="1"/>
          <c:order val="1"/>
          <c:tx>
            <c:strRef>
              <c:f>'pivot Report'!$C$100</c:f>
              <c:strCache>
                <c:ptCount val="1"/>
                <c:pt idx="0">
                  <c:v>Average of Mobile_Hours</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Report'!$A$101:$A$106</c:f>
              <c:strCache>
                <c:ptCount val="5"/>
                <c:pt idx="0">
                  <c:v>22</c:v>
                </c:pt>
                <c:pt idx="1">
                  <c:v>23</c:v>
                </c:pt>
                <c:pt idx="2">
                  <c:v>24</c:v>
                </c:pt>
                <c:pt idx="3">
                  <c:v>25</c:v>
                </c:pt>
                <c:pt idx="4">
                  <c:v>26</c:v>
                </c:pt>
              </c:strCache>
            </c:strRef>
          </c:cat>
          <c:val>
            <c:numRef>
              <c:f>'pivot Report'!$C$101:$C$106</c:f>
              <c:numCache>
                <c:formatCode>0.00</c:formatCode>
                <c:ptCount val="5"/>
                <c:pt idx="0">
                  <c:v>1.63</c:v>
                </c:pt>
                <c:pt idx="1">
                  <c:v>3.7642857142857147</c:v>
                </c:pt>
                <c:pt idx="2">
                  <c:v>2.0585714285714287</c:v>
                </c:pt>
                <c:pt idx="3">
                  <c:v>2.9871428571428575</c:v>
                </c:pt>
                <c:pt idx="4">
                  <c:v>2.8385714285714281</c:v>
                </c:pt>
              </c:numCache>
            </c:numRef>
          </c:val>
          <c:smooth val="0"/>
          <c:extLst>
            <c:ext xmlns:c16="http://schemas.microsoft.com/office/drawing/2014/chart" uri="{C3380CC4-5D6E-409C-BE32-E72D297353CC}">
              <c16:uniqueId val="{00000001-624D-4451-9CDF-F3026C49DA4A}"/>
            </c:ext>
          </c:extLst>
        </c:ser>
        <c:dLbls>
          <c:showLegendKey val="0"/>
          <c:showVal val="0"/>
          <c:showCatName val="0"/>
          <c:showSerName val="0"/>
          <c:showPercent val="0"/>
          <c:showBubbleSize val="0"/>
        </c:dLbls>
        <c:marker val="1"/>
        <c:smooth val="0"/>
        <c:axId val="202421328"/>
        <c:axId val="202420848"/>
      </c:lineChart>
      <c:catAx>
        <c:axId val="202421328"/>
        <c:scaling>
          <c:orientation val="minMax"/>
        </c:scaling>
        <c:delete val="1"/>
        <c:axPos val="b"/>
        <c:numFmt formatCode="General" sourceLinked="1"/>
        <c:majorTickMark val="out"/>
        <c:minorTickMark val="none"/>
        <c:tickLblPos val="nextTo"/>
        <c:crossAx val="202420848"/>
        <c:crosses val="autoZero"/>
        <c:auto val="1"/>
        <c:lblAlgn val="ctr"/>
        <c:lblOffset val="100"/>
        <c:noMultiLvlLbl val="0"/>
      </c:catAx>
      <c:valAx>
        <c:axId val="202420848"/>
        <c:scaling>
          <c:orientation val="minMax"/>
        </c:scaling>
        <c:delete val="1"/>
        <c:axPos val="l"/>
        <c:numFmt formatCode="0.00" sourceLinked="1"/>
        <c:majorTickMark val="out"/>
        <c:minorTickMark val="none"/>
        <c:tickLblPos val="nextTo"/>
        <c:crossAx val="20242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[student_productivity_Dashboard_25.xlsx]pivot Report!PivotTable5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91307921259603E-2"/>
          <c:y val="0.13973827955495557"/>
          <c:w val="0.90219932505632994"/>
          <c:h val="0.43053762790144323"/>
        </c:manualLayout>
      </c:layout>
      <c:areaChart>
        <c:grouping val="standard"/>
        <c:varyColors val="0"/>
        <c:ser>
          <c:idx val="0"/>
          <c:order val="0"/>
          <c:tx>
            <c:strRef>
              <c:f>'pivot Report'!$H$37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Report'!$G$38:$G$67</c:f>
              <c:strCache>
                <c:ptCount val="29"/>
                <c:pt idx="0">
                  <c:v>01-06-2025</c:v>
                </c:pt>
                <c:pt idx="1">
                  <c:v>02-06-2025</c:v>
                </c:pt>
                <c:pt idx="2">
                  <c:v>03-06-2025</c:v>
                </c:pt>
                <c:pt idx="3">
                  <c:v>04-06-2025</c:v>
                </c:pt>
                <c:pt idx="4">
                  <c:v>05-06-2025</c:v>
                </c:pt>
                <c:pt idx="5">
                  <c:v>06-06-2025</c:v>
                </c:pt>
                <c:pt idx="6">
                  <c:v>07-06-2025</c:v>
                </c:pt>
                <c:pt idx="7">
                  <c:v>08-06-2025</c:v>
                </c:pt>
                <c:pt idx="8">
                  <c:v>09-06-2025</c:v>
                </c:pt>
                <c:pt idx="9">
                  <c:v>10-06-2025</c:v>
                </c:pt>
                <c:pt idx="10">
                  <c:v>11-06-2025</c:v>
                </c:pt>
                <c:pt idx="11">
                  <c:v>12-06-2025</c:v>
                </c:pt>
                <c:pt idx="12">
                  <c:v>13-06-2025</c:v>
                </c:pt>
                <c:pt idx="13">
                  <c:v>14-06-2025</c:v>
                </c:pt>
                <c:pt idx="14">
                  <c:v>15-06-2025</c:v>
                </c:pt>
                <c:pt idx="15">
                  <c:v>16-06-2025</c:v>
                </c:pt>
                <c:pt idx="16">
                  <c:v>17-06-2025</c:v>
                </c:pt>
                <c:pt idx="17">
                  <c:v>18-06-2025</c:v>
                </c:pt>
                <c:pt idx="18">
                  <c:v>19-06-2025</c:v>
                </c:pt>
                <c:pt idx="19">
                  <c:v>20-06-2025</c:v>
                </c:pt>
                <c:pt idx="20">
                  <c:v>21-06-2025</c:v>
                </c:pt>
                <c:pt idx="21">
                  <c:v>22-06-2025</c:v>
                </c:pt>
                <c:pt idx="22">
                  <c:v>23-06-2025</c:v>
                </c:pt>
                <c:pt idx="23">
                  <c:v>24-06-2025</c:v>
                </c:pt>
                <c:pt idx="24">
                  <c:v>25-06-2025</c:v>
                </c:pt>
                <c:pt idx="25">
                  <c:v>26-06-2025</c:v>
                </c:pt>
                <c:pt idx="26">
                  <c:v>27-06-2025</c:v>
                </c:pt>
                <c:pt idx="27">
                  <c:v>28-06-2025</c:v>
                </c:pt>
                <c:pt idx="28">
                  <c:v>29-06-2025</c:v>
                </c:pt>
              </c:strCache>
            </c:strRef>
          </c:cat>
          <c:val>
            <c:numRef>
              <c:f>'pivot Report'!$H$38:$H$67</c:f>
              <c:numCache>
                <c:formatCode>0.00%</c:formatCode>
                <c:ptCount val="29"/>
                <c:pt idx="0">
                  <c:v>0.53203342618384397</c:v>
                </c:pt>
                <c:pt idx="1">
                  <c:v>0.3786488740617181</c:v>
                </c:pt>
                <c:pt idx="2">
                  <c:v>0.54387417218543044</c:v>
                </c:pt>
                <c:pt idx="3">
                  <c:v>0.53929712460063894</c:v>
                </c:pt>
                <c:pt idx="4">
                  <c:v>0.41108786610878661</c:v>
                </c:pt>
                <c:pt idx="5">
                  <c:v>0.62540453074433666</c:v>
                </c:pt>
                <c:pt idx="6">
                  <c:v>0.56059009483667011</c:v>
                </c:pt>
                <c:pt idx="7">
                  <c:v>0.47895408163265307</c:v>
                </c:pt>
                <c:pt idx="8">
                  <c:v>0.69380530973451326</c:v>
                </c:pt>
                <c:pt idx="9">
                  <c:v>0.59625000000000006</c:v>
                </c:pt>
                <c:pt idx="10">
                  <c:v>0.59763313609467461</c:v>
                </c:pt>
                <c:pt idx="11">
                  <c:v>0.64516129032258063</c:v>
                </c:pt>
                <c:pt idx="12">
                  <c:v>0.58672376873661669</c:v>
                </c:pt>
                <c:pt idx="13">
                  <c:v>0.50708024275118002</c:v>
                </c:pt>
                <c:pt idx="14">
                  <c:v>0.48742411101474409</c:v>
                </c:pt>
                <c:pt idx="15">
                  <c:v>0.58996138996139003</c:v>
                </c:pt>
                <c:pt idx="16">
                  <c:v>0.34330985915492956</c:v>
                </c:pt>
                <c:pt idx="17">
                  <c:v>0.56028938906752412</c:v>
                </c:pt>
                <c:pt idx="18">
                  <c:v>0.55990016638935114</c:v>
                </c:pt>
                <c:pt idx="19">
                  <c:v>0.42977824709609291</c:v>
                </c:pt>
                <c:pt idx="20">
                  <c:v>0.69918699186991873</c:v>
                </c:pt>
                <c:pt idx="21">
                  <c:v>0.54033485540334847</c:v>
                </c:pt>
                <c:pt idx="22">
                  <c:v>0.59230009871668321</c:v>
                </c:pt>
                <c:pt idx="23">
                  <c:v>0.39846153846153837</c:v>
                </c:pt>
                <c:pt idx="24">
                  <c:v>0.44427596664139496</c:v>
                </c:pt>
                <c:pt idx="25">
                  <c:v>0.57949125596184414</c:v>
                </c:pt>
                <c:pt idx="26">
                  <c:v>0.5475746268656716</c:v>
                </c:pt>
                <c:pt idx="27">
                  <c:v>0.57710064635272396</c:v>
                </c:pt>
                <c:pt idx="28">
                  <c:v>0.47760165403170224</c:v>
                </c:pt>
              </c:numCache>
            </c:numRef>
          </c:val>
          <c:extLst>
            <c:ext xmlns:c16="http://schemas.microsoft.com/office/drawing/2014/chart" uri="{C3380CC4-5D6E-409C-BE32-E72D297353CC}">
              <c16:uniqueId val="{00000000-BA6B-40AD-A4F2-B0E989B724D4}"/>
            </c:ext>
          </c:extLst>
        </c:ser>
        <c:dLbls>
          <c:showLegendKey val="0"/>
          <c:showVal val="1"/>
          <c:showCatName val="0"/>
          <c:showSerName val="0"/>
          <c:showPercent val="0"/>
          <c:showBubbleSize val="0"/>
        </c:dLbls>
        <c:axId val="2040048128"/>
        <c:axId val="2040040928"/>
      </c:areaChart>
      <c:catAx>
        <c:axId val="20400481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0040928"/>
        <c:crosses val="autoZero"/>
        <c:auto val="1"/>
        <c:lblAlgn val="ctr"/>
        <c:lblOffset val="100"/>
        <c:noMultiLvlLbl val="0"/>
      </c:catAx>
      <c:valAx>
        <c:axId val="20400409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00481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[student_productivity_Dashboard_25.xlsx]pivot Report!PivotTable10</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554389034703992E-2"/>
          <c:y val="0.17715407644356956"/>
          <c:w val="0.87577369495479729"/>
          <c:h val="0.54277948654855646"/>
        </c:manualLayout>
      </c:layout>
      <c:areaChart>
        <c:grouping val="standard"/>
        <c:varyColors val="0"/>
        <c:ser>
          <c:idx val="0"/>
          <c:order val="0"/>
          <c:tx>
            <c:strRef>
              <c:f>'pivot Report'!$L$37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Report'!$K$38:$K$67</c:f>
              <c:strCache>
                <c:ptCount val="29"/>
                <c:pt idx="0">
                  <c:v>01-06-2025</c:v>
                </c:pt>
                <c:pt idx="1">
                  <c:v>02-06-2025</c:v>
                </c:pt>
                <c:pt idx="2">
                  <c:v>03-06-2025</c:v>
                </c:pt>
                <c:pt idx="3">
                  <c:v>04-06-2025</c:v>
                </c:pt>
                <c:pt idx="4">
                  <c:v>05-06-2025</c:v>
                </c:pt>
                <c:pt idx="5">
                  <c:v>06-06-2025</c:v>
                </c:pt>
                <c:pt idx="6">
                  <c:v>07-06-2025</c:v>
                </c:pt>
                <c:pt idx="7">
                  <c:v>08-06-2025</c:v>
                </c:pt>
                <c:pt idx="8">
                  <c:v>09-06-2025</c:v>
                </c:pt>
                <c:pt idx="9">
                  <c:v>10-06-2025</c:v>
                </c:pt>
                <c:pt idx="10">
                  <c:v>11-06-2025</c:v>
                </c:pt>
                <c:pt idx="11">
                  <c:v>12-06-2025</c:v>
                </c:pt>
                <c:pt idx="12">
                  <c:v>13-06-2025</c:v>
                </c:pt>
                <c:pt idx="13">
                  <c:v>14-06-2025</c:v>
                </c:pt>
                <c:pt idx="14">
                  <c:v>15-06-2025</c:v>
                </c:pt>
                <c:pt idx="15">
                  <c:v>16-06-2025</c:v>
                </c:pt>
                <c:pt idx="16">
                  <c:v>17-06-2025</c:v>
                </c:pt>
                <c:pt idx="17">
                  <c:v>18-06-2025</c:v>
                </c:pt>
                <c:pt idx="18">
                  <c:v>19-06-2025</c:v>
                </c:pt>
                <c:pt idx="19">
                  <c:v>20-06-2025</c:v>
                </c:pt>
                <c:pt idx="20">
                  <c:v>21-06-2025</c:v>
                </c:pt>
                <c:pt idx="21">
                  <c:v>22-06-2025</c:v>
                </c:pt>
                <c:pt idx="22">
                  <c:v>23-06-2025</c:v>
                </c:pt>
                <c:pt idx="23">
                  <c:v>24-06-2025</c:v>
                </c:pt>
                <c:pt idx="24">
                  <c:v>25-06-2025</c:v>
                </c:pt>
                <c:pt idx="25">
                  <c:v>26-06-2025</c:v>
                </c:pt>
                <c:pt idx="26">
                  <c:v>27-06-2025</c:v>
                </c:pt>
                <c:pt idx="27">
                  <c:v>28-06-2025</c:v>
                </c:pt>
                <c:pt idx="28">
                  <c:v>29-06-2025</c:v>
                </c:pt>
              </c:strCache>
            </c:strRef>
          </c:cat>
          <c:val>
            <c:numRef>
              <c:f>'pivot Report'!$L$38:$L$67</c:f>
              <c:numCache>
                <c:formatCode>0.00%</c:formatCode>
                <c:ptCount val="29"/>
                <c:pt idx="0">
                  <c:v>0.76400000000000001</c:v>
                </c:pt>
                <c:pt idx="1">
                  <c:v>0.64857142857142869</c:v>
                </c:pt>
                <c:pt idx="2">
                  <c:v>0.93857142857142861</c:v>
                </c:pt>
                <c:pt idx="3">
                  <c:v>1</c:v>
                </c:pt>
                <c:pt idx="4">
                  <c:v>0.56142857142857139</c:v>
                </c:pt>
                <c:pt idx="5">
                  <c:v>1</c:v>
                </c:pt>
                <c:pt idx="6">
                  <c:v>1</c:v>
                </c:pt>
                <c:pt idx="7">
                  <c:v>1</c:v>
                </c:pt>
                <c:pt idx="8">
                  <c:v>1</c:v>
                </c:pt>
                <c:pt idx="9">
                  <c:v>0.68142857142857149</c:v>
                </c:pt>
                <c:pt idx="10">
                  <c:v>1</c:v>
                </c:pt>
                <c:pt idx="11">
                  <c:v>1</c:v>
                </c:pt>
                <c:pt idx="12">
                  <c:v>0.78285714285714281</c:v>
                </c:pt>
                <c:pt idx="13">
                  <c:v>1</c:v>
                </c:pt>
                <c:pt idx="14">
                  <c:v>1</c:v>
                </c:pt>
                <c:pt idx="15">
                  <c:v>1</c:v>
                </c:pt>
                <c:pt idx="16">
                  <c:v>0.55714285714285705</c:v>
                </c:pt>
                <c:pt idx="17">
                  <c:v>0.99571428571428566</c:v>
                </c:pt>
                <c:pt idx="18">
                  <c:v>0.96142857142857152</c:v>
                </c:pt>
                <c:pt idx="19">
                  <c:v>0.58142857142857152</c:v>
                </c:pt>
                <c:pt idx="20">
                  <c:v>1</c:v>
                </c:pt>
                <c:pt idx="21">
                  <c:v>1</c:v>
                </c:pt>
                <c:pt idx="22">
                  <c:v>0.8571428571428571</c:v>
                </c:pt>
                <c:pt idx="23">
                  <c:v>0.36999999999999994</c:v>
                </c:pt>
                <c:pt idx="24">
                  <c:v>0.83714285714285708</c:v>
                </c:pt>
                <c:pt idx="25">
                  <c:v>1</c:v>
                </c:pt>
                <c:pt idx="26">
                  <c:v>0.83857142857142841</c:v>
                </c:pt>
                <c:pt idx="27">
                  <c:v>1</c:v>
                </c:pt>
                <c:pt idx="28">
                  <c:v>1</c:v>
                </c:pt>
              </c:numCache>
            </c:numRef>
          </c:val>
          <c:extLst>
            <c:ext xmlns:c16="http://schemas.microsoft.com/office/drawing/2014/chart" uri="{C3380CC4-5D6E-409C-BE32-E72D297353CC}">
              <c16:uniqueId val="{00000000-5411-406D-8217-78DF079191F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63937360"/>
        <c:axId val="663937840"/>
      </c:areaChart>
      <c:catAx>
        <c:axId val="6639373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3937840"/>
        <c:crosses val="autoZero"/>
        <c:auto val="1"/>
        <c:lblAlgn val="ctr"/>
        <c:lblOffset val="100"/>
        <c:noMultiLvlLbl val="0"/>
      </c:catAx>
      <c:valAx>
        <c:axId val="663937840"/>
        <c:scaling>
          <c:orientation val="minMax"/>
        </c:scaling>
        <c:delete val="1"/>
        <c:axPos val="l"/>
        <c:numFmt formatCode="0.00%" sourceLinked="1"/>
        <c:majorTickMark val="out"/>
        <c:minorTickMark val="none"/>
        <c:tickLblPos val="nextTo"/>
        <c:crossAx val="6639373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[student_productivity_Dashboard_25.xlsx]pivot Report!PivotTable11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670777762443065E-2"/>
          <c:y val="8.4847013986265415E-2"/>
          <c:w val="0.89045268057664073"/>
          <c:h val="0.66343953367130482"/>
        </c:manualLayout>
      </c:layout>
      <c:areaChart>
        <c:grouping val="standard"/>
        <c:varyColors val="0"/>
        <c:ser>
          <c:idx val="0"/>
          <c:order val="0"/>
          <c:tx>
            <c:strRef>
              <c:f>'pivot Report'!$P$37</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Report'!$O$38:$O$67</c:f>
              <c:strCache>
                <c:ptCount val="29"/>
                <c:pt idx="0">
                  <c:v>01-06-2025</c:v>
                </c:pt>
                <c:pt idx="1">
                  <c:v>02-06-2025</c:v>
                </c:pt>
                <c:pt idx="2">
                  <c:v>03-06-2025</c:v>
                </c:pt>
                <c:pt idx="3">
                  <c:v>04-06-2025</c:v>
                </c:pt>
                <c:pt idx="4">
                  <c:v>05-06-2025</c:v>
                </c:pt>
                <c:pt idx="5">
                  <c:v>06-06-2025</c:v>
                </c:pt>
                <c:pt idx="6">
                  <c:v>07-06-2025</c:v>
                </c:pt>
                <c:pt idx="7">
                  <c:v>08-06-2025</c:v>
                </c:pt>
                <c:pt idx="8">
                  <c:v>09-06-2025</c:v>
                </c:pt>
                <c:pt idx="9">
                  <c:v>10-06-2025</c:v>
                </c:pt>
                <c:pt idx="10">
                  <c:v>11-06-2025</c:v>
                </c:pt>
                <c:pt idx="11">
                  <c:v>12-06-2025</c:v>
                </c:pt>
                <c:pt idx="12">
                  <c:v>13-06-2025</c:v>
                </c:pt>
                <c:pt idx="13">
                  <c:v>14-06-2025</c:v>
                </c:pt>
                <c:pt idx="14">
                  <c:v>15-06-2025</c:v>
                </c:pt>
                <c:pt idx="15">
                  <c:v>16-06-2025</c:v>
                </c:pt>
                <c:pt idx="16">
                  <c:v>17-06-2025</c:v>
                </c:pt>
                <c:pt idx="17">
                  <c:v>18-06-2025</c:v>
                </c:pt>
                <c:pt idx="18">
                  <c:v>19-06-2025</c:v>
                </c:pt>
                <c:pt idx="19">
                  <c:v>20-06-2025</c:v>
                </c:pt>
                <c:pt idx="20">
                  <c:v>21-06-2025</c:v>
                </c:pt>
                <c:pt idx="21">
                  <c:v>22-06-2025</c:v>
                </c:pt>
                <c:pt idx="22">
                  <c:v>23-06-2025</c:v>
                </c:pt>
                <c:pt idx="23">
                  <c:v>24-06-2025</c:v>
                </c:pt>
                <c:pt idx="24">
                  <c:v>25-06-2025</c:v>
                </c:pt>
                <c:pt idx="25">
                  <c:v>26-06-2025</c:v>
                </c:pt>
                <c:pt idx="26">
                  <c:v>27-06-2025</c:v>
                </c:pt>
                <c:pt idx="27">
                  <c:v>28-06-2025</c:v>
                </c:pt>
                <c:pt idx="28">
                  <c:v>29-06-2025</c:v>
                </c:pt>
              </c:strCache>
            </c:strRef>
          </c:cat>
          <c:val>
            <c:numRef>
              <c:f>'pivot Report'!$P$38:$P$67</c:f>
              <c:numCache>
                <c:formatCode>0.00</c:formatCode>
                <c:ptCount val="29"/>
                <c:pt idx="0">
                  <c:v>2.27</c:v>
                </c:pt>
                <c:pt idx="1">
                  <c:v>4.24</c:v>
                </c:pt>
                <c:pt idx="2">
                  <c:v>5.17</c:v>
                </c:pt>
                <c:pt idx="3">
                  <c:v>5.21</c:v>
                </c:pt>
                <c:pt idx="4">
                  <c:v>2.62</c:v>
                </c:pt>
                <c:pt idx="5">
                  <c:v>5.62</c:v>
                </c:pt>
                <c:pt idx="6">
                  <c:v>3.22</c:v>
                </c:pt>
                <c:pt idx="7">
                  <c:v>5.97</c:v>
                </c:pt>
                <c:pt idx="8">
                  <c:v>4.68</c:v>
                </c:pt>
                <c:pt idx="9">
                  <c:v>2.98</c:v>
                </c:pt>
                <c:pt idx="10">
                  <c:v>5.04</c:v>
                </c:pt>
                <c:pt idx="11">
                  <c:v>4.99</c:v>
                </c:pt>
                <c:pt idx="12">
                  <c:v>4.87</c:v>
                </c:pt>
                <c:pt idx="13">
                  <c:v>4.7</c:v>
                </c:pt>
                <c:pt idx="14">
                  <c:v>4.16</c:v>
                </c:pt>
                <c:pt idx="15">
                  <c:v>5.57</c:v>
                </c:pt>
                <c:pt idx="16">
                  <c:v>1.76</c:v>
                </c:pt>
                <c:pt idx="17">
                  <c:v>4.8499999999999996</c:v>
                </c:pt>
                <c:pt idx="18">
                  <c:v>5.16</c:v>
                </c:pt>
                <c:pt idx="19">
                  <c:v>1.43</c:v>
                </c:pt>
                <c:pt idx="20">
                  <c:v>2.5099999999999998</c:v>
                </c:pt>
                <c:pt idx="21">
                  <c:v>5.03</c:v>
                </c:pt>
                <c:pt idx="22">
                  <c:v>4.26</c:v>
                </c:pt>
                <c:pt idx="23">
                  <c:v>2.2599999999999998</c:v>
                </c:pt>
                <c:pt idx="24">
                  <c:v>4.62</c:v>
                </c:pt>
                <c:pt idx="25">
                  <c:v>4.16</c:v>
                </c:pt>
                <c:pt idx="26">
                  <c:v>3.45</c:v>
                </c:pt>
                <c:pt idx="27">
                  <c:v>3.79</c:v>
                </c:pt>
                <c:pt idx="28">
                  <c:v>4.68</c:v>
                </c:pt>
              </c:numCache>
            </c:numRef>
          </c:val>
          <c:extLst>
            <c:ext xmlns:c16="http://schemas.microsoft.com/office/drawing/2014/chart" uri="{C3380CC4-5D6E-409C-BE32-E72D297353CC}">
              <c16:uniqueId val="{00000000-F0D1-421E-B441-525BDE0010B1}"/>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663887920"/>
        <c:axId val="663893680"/>
      </c:areaChart>
      <c:catAx>
        <c:axId val="66388792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63893680"/>
        <c:crosses val="autoZero"/>
        <c:auto val="1"/>
        <c:lblAlgn val="ctr"/>
        <c:lblOffset val="100"/>
        <c:noMultiLvlLbl val="0"/>
      </c:catAx>
      <c:valAx>
        <c:axId val="66389368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3887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productivity!A1"/><Relationship Id="rId13" Type="http://schemas.openxmlformats.org/officeDocument/2006/relationships/chart" Target="../charts/chart3.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of Study_Hours '!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Goal_Achievement!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1!A1"/><Relationship Id="rId1" Type="http://schemas.openxmlformats.org/officeDocument/2006/relationships/chart" Target="../charts/chart9.xml"/><Relationship Id="rId4" Type="http://schemas.openxmlformats.org/officeDocument/2006/relationships/image" Target="../media/image9.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1!A1"/><Relationship Id="rId1" Type="http://schemas.openxmlformats.org/officeDocument/2006/relationships/chart" Target="../charts/chart10.xml"/><Relationship Id="rId4" Type="http://schemas.openxmlformats.org/officeDocument/2006/relationships/image" Target="../media/image11.svg"/></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1!A1"/></Relationships>
</file>

<file path=xl/drawings/drawing1.xml><?xml version="1.0" encoding="utf-8"?>
<xdr:wsDr xmlns:xdr="http://schemas.openxmlformats.org/drawingml/2006/spreadsheetDrawing" xmlns:a="http://schemas.openxmlformats.org/drawingml/2006/main">
  <xdr:twoCellAnchor editAs="absolute">
    <xdr:from>
      <xdr:col>0</xdr:col>
      <xdr:colOff>45860</xdr:colOff>
      <xdr:row>0</xdr:row>
      <xdr:rowOff>68545</xdr:rowOff>
    </xdr:from>
    <xdr:to>
      <xdr:col>7</xdr:col>
      <xdr:colOff>571500</xdr:colOff>
      <xdr:row>4</xdr:row>
      <xdr:rowOff>167084</xdr:rowOff>
    </xdr:to>
    <xdr:sp macro="" textlink="">
      <xdr:nvSpPr>
        <xdr:cNvPr id="3" name="Rectangle: Rounded Corners 2">
          <a:extLst>
            <a:ext uri="{FF2B5EF4-FFF2-40B4-BE49-F238E27FC236}">
              <a16:creationId xmlns:a16="http://schemas.microsoft.com/office/drawing/2014/main" id="{8C471E60-1248-2E90-657C-5FF11773018B}"/>
            </a:ext>
          </a:extLst>
        </xdr:cNvPr>
        <xdr:cNvSpPr/>
      </xdr:nvSpPr>
      <xdr:spPr>
        <a:xfrm>
          <a:off x="45860" y="68545"/>
          <a:ext cx="4801657" cy="829051"/>
        </a:xfrm>
        <a:prstGeom prst="roundRect">
          <a:avLst>
            <a:gd name="adj" fmla="val 19274"/>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93034</xdr:colOff>
      <xdr:row>5</xdr:row>
      <xdr:rowOff>38485</xdr:rowOff>
    </xdr:from>
    <xdr:to>
      <xdr:col>1</xdr:col>
      <xdr:colOff>489857</xdr:colOff>
      <xdr:row>32</xdr:row>
      <xdr:rowOff>18143</xdr:rowOff>
    </xdr:to>
    <xdr:sp macro="" textlink="">
      <xdr:nvSpPr>
        <xdr:cNvPr id="4" name="Rectangle: Rounded Corners 3">
          <a:extLst>
            <a:ext uri="{FF2B5EF4-FFF2-40B4-BE49-F238E27FC236}">
              <a16:creationId xmlns:a16="http://schemas.microsoft.com/office/drawing/2014/main" id="{AC17C968-6ED5-CD1E-9A47-48DFCBA422FD}"/>
            </a:ext>
          </a:extLst>
        </xdr:cNvPr>
        <xdr:cNvSpPr/>
      </xdr:nvSpPr>
      <xdr:spPr>
        <a:xfrm>
          <a:off x="93034" y="945628"/>
          <a:ext cx="1004609" cy="4878229"/>
        </a:xfrm>
        <a:prstGeom prst="roundRect">
          <a:avLst>
            <a:gd name="adj" fmla="val 5099"/>
          </a:avLst>
        </a:prstGeom>
        <a:solidFill>
          <a:schemeClr val="accent3">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522709</xdr:colOff>
      <xdr:row>5</xdr:row>
      <xdr:rowOff>56787</xdr:rowOff>
    </xdr:from>
    <xdr:to>
      <xdr:col>7</xdr:col>
      <xdr:colOff>571499</xdr:colOff>
      <xdr:row>9</xdr:row>
      <xdr:rowOff>110719</xdr:rowOff>
    </xdr:to>
    <xdr:grpSp>
      <xdr:nvGrpSpPr>
        <xdr:cNvPr id="10" name="Group 9">
          <a:extLst>
            <a:ext uri="{FF2B5EF4-FFF2-40B4-BE49-F238E27FC236}">
              <a16:creationId xmlns:a16="http://schemas.microsoft.com/office/drawing/2014/main" id="{057639AE-85DF-5937-6A03-4B23ACCC3DDD}"/>
            </a:ext>
          </a:extLst>
        </xdr:cNvPr>
        <xdr:cNvGrpSpPr/>
      </xdr:nvGrpSpPr>
      <xdr:grpSpPr>
        <a:xfrm>
          <a:off x="1132309" y="994633"/>
          <a:ext cx="3706390" cy="804209"/>
          <a:chOff x="1134915" y="968582"/>
          <a:chExt cx="3717136" cy="783368"/>
        </a:xfrm>
        <a:solidFill>
          <a:schemeClr val="bg1"/>
        </a:solidFill>
      </xdr:grpSpPr>
      <xdr:sp macro="" textlink="">
        <xdr:nvSpPr>
          <xdr:cNvPr id="6" name="Rectangle: Rounded Corners 5">
            <a:extLst>
              <a:ext uri="{FF2B5EF4-FFF2-40B4-BE49-F238E27FC236}">
                <a16:creationId xmlns:a16="http://schemas.microsoft.com/office/drawing/2014/main" id="{53934695-D649-7A9A-18A2-2FE2034715B2}"/>
              </a:ext>
            </a:extLst>
          </xdr:cNvPr>
          <xdr:cNvSpPr/>
        </xdr:nvSpPr>
        <xdr:spPr>
          <a:xfrm>
            <a:off x="1134915" y="968582"/>
            <a:ext cx="1209700" cy="770342"/>
          </a:xfrm>
          <a:prstGeom prst="roundRect">
            <a:avLst>
              <a:gd name="adj" fmla="val 11406"/>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ED8EC77-9E7D-FB72-BC51-10ED7D9903BF}"/>
              </a:ext>
            </a:extLst>
          </xdr:cNvPr>
          <xdr:cNvSpPr/>
        </xdr:nvSpPr>
        <xdr:spPr>
          <a:xfrm>
            <a:off x="2391890" y="981608"/>
            <a:ext cx="1209700" cy="770342"/>
          </a:xfrm>
          <a:prstGeom prst="roundRect">
            <a:avLst>
              <a:gd name="adj" fmla="val 11406"/>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1905B943-59DD-B12E-E125-F09342547401}"/>
              </a:ext>
            </a:extLst>
          </xdr:cNvPr>
          <xdr:cNvSpPr/>
        </xdr:nvSpPr>
        <xdr:spPr>
          <a:xfrm>
            <a:off x="3642351" y="968582"/>
            <a:ext cx="1209700" cy="770342"/>
          </a:xfrm>
          <a:prstGeom prst="roundRect">
            <a:avLst>
              <a:gd name="adj" fmla="val 11406"/>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514996</xdr:colOff>
      <xdr:row>15</xdr:row>
      <xdr:rowOff>156038</xdr:rowOff>
    </xdr:from>
    <xdr:to>
      <xdr:col>7</xdr:col>
      <xdr:colOff>580571</xdr:colOff>
      <xdr:row>32</xdr:row>
      <xdr:rowOff>27215</xdr:rowOff>
    </xdr:to>
    <xdr:sp macro="" textlink="">
      <xdr:nvSpPr>
        <xdr:cNvPr id="12" name="Rectangle: Rounded Corners 11">
          <a:extLst>
            <a:ext uri="{FF2B5EF4-FFF2-40B4-BE49-F238E27FC236}">
              <a16:creationId xmlns:a16="http://schemas.microsoft.com/office/drawing/2014/main" id="{F9A0CA6B-41F7-DBE8-8211-EBB830FCDB36}"/>
            </a:ext>
          </a:extLst>
        </xdr:cNvPr>
        <xdr:cNvSpPr/>
      </xdr:nvSpPr>
      <xdr:spPr>
        <a:xfrm>
          <a:off x="1122215" y="2924241"/>
          <a:ext cx="3708887" cy="3008474"/>
        </a:xfrm>
        <a:prstGeom prst="roundRect">
          <a:avLst>
            <a:gd name="adj" fmla="val 2362"/>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8</xdr:col>
      <xdr:colOff>24305</xdr:colOff>
      <xdr:row>5</xdr:row>
      <xdr:rowOff>170201</xdr:rowOff>
    </xdr:from>
    <xdr:to>
      <xdr:col>13</xdr:col>
      <xdr:colOff>431102</xdr:colOff>
      <xdr:row>18</xdr:row>
      <xdr:rowOff>131186</xdr:rowOff>
    </xdr:to>
    <xdr:sp macro="" textlink="">
      <xdr:nvSpPr>
        <xdr:cNvPr id="13" name="Rectangle: Rounded Corners 12">
          <a:extLst>
            <a:ext uri="{FF2B5EF4-FFF2-40B4-BE49-F238E27FC236}">
              <a16:creationId xmlns:a16="http://schemas.microsoft.com/office/drawing/2014/main" id="{D3AFCB38-EB22-5F5D-65BD-C3E246E5EF47}"/>
            </a:ext>
          </a:extLst>
        </xdr:cNvPr>
        <xdr:cNvSpPr/>
      </xdr:nvSpPr>
      <xdr:spPr>
        <a:xfrm>
          <a:off x="4886591" y="1077344"/>
          <a:ext cx="3445725" cy="2319556"/>
        </a:xfrm>
        <a:prstGeom prst="roundRect">
          <a:avLst>
            <a:gd name="adj" fmla="val 1629"/>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39868</xdr:colOff>
      <xdr:row>19</xdr:row>
      <xdr:rowOff>4803</xdr:rowOff>
    </xdr:from>
    <xdr:to>
      <xdr:col>13</xdr:col>
      <xdr:colOff>466837</xdr:colOff>
      <xdr:row>32</xdr:row>
      <xdr:rowOff>88497</xdr:rowOff>
    </xdr:to>
    <xdr:sp macro="" textlink="">
      <xdr:nvSpPr>
        <xdr:cNvPr id="14" name="Rectangle: Rounded Corners 13">
          <a:extLst>
            <a:ext uri="{FF2B5EF4-FFF2-40B4-BE49-F238E27FC236}">
              <a16:creationId xmlns:a16="http://schemas.microsoft.com/office/drawing/2014/main" id="{333D4EE4-5609-CAEA-336F-CC89A0DAB220}"/>
            </a:ext>
          </a:extLst>
        </xdr:cNvPr>
        <xdr:cNvSpPr/>
      </xdr:nvSpPr>
      <xdr:spPr>
        <a:xfrm>
          <a:off x="4940574" y="3411391"/>
          <a:ext cx="3489910" cy="2414518"/>
        </a:xfrm>
        <a:prstGeom prst="roundRect">
          <a:avLst>
            <a:gd name="adj" fmla="val 358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424962</xdr:colOff>
      <xdr:row>1</xdr:row>
      <xdr:rowOff>14654</xdr:rowOff>
    </xdr:from>
    <xdr:to>
      <xdr:col>7</xdr:col>
      <xdr:colOff>337040</xdr:colOff>
      <xdr:row>2</xdr:row>
      <xdr:rowOff>102577</xdr:rowOff>
    </xdr:to>
    <xdr:sp macro="" textlink="">
      <xdr:nvSpPr>
        <xdr:cNvPr id="23" name="TextBox 22">
          <a:extLst>
            <a:ext uri="{FF2B5EF4-FFF2-40B4-BE49-F238E27FC236}">
              <a16:creationId xmlns:a16="http://schemas.microsoft.com/office/drawing/2014/main" id="{53D8C0A1-5488-D723-0BA5-132C03734F38}"/>
            </a:ext>
          </a:extLst>
        </xdr:cNvPr>
        <xdr:cNvSpPr txBox="1"/>
      </xdr:nvSpPr>
      <xdr:spPr>
        <a:xfrm>
          <a:off x="1033097" y="197827"/>
          <a:ext cx="3560885" cy="271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Learning Efficiency &amp; Habit Tracking Dashboard</a:t>
          </a:r>
        </a:p>
      </xdr:txBody>
    </xdr:sp>
    <xdr:clientData/>
  </xdr:twoCellAnchor>
  <xdr:twoCellAnchor editAs="oneCell">
    <xdr:from>
      <xdr:col>0</xdr:col>
      <xdr:colOff>227135</xdr:colOff>
      <xdr:row>1</xdr:row>
      <xdr:rowOff>7328</xdr:rowOff>
    </xdr:from>
    <xdr:to>
      <xdr:col>1</xdr:col>
      <xdr:colOff>300403</xdr:colOff>
      <xdr:row>4</xdr:row>
      <xdr:rowOff>46103</xdr:rowOff>
    </xdr:to>
    <xdr:pic>
      <xdr:nvPicPr>
        <xdr:cNvPr id="25" name="Picture 24">
          <a:extLst>
            <a:ext uri="{FF2B5EF4-FFF2-40B4-BE49-F238E27FC236}">
              <a16:creationId xmlns:a16="http://schemas.microsoft.com/office/drawing/2014/main" id="{53ED7B65-42B9-35EB-09A7-A26154CD77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7135" y="190501"/>
          <a:ext cx="681403" cy="588294"/>
        </a:xfrm>
        <a:prstGeom prst="rect">
          <a:avLst/>
        </a:prstGeom>
      </xdr:spPr>
    </xdr:pic>
    <xdr:clientData/>
  </xdr:twoCellAnchor>
  <xdr:twoCellAnchor editAs="absolute">
    <xdr:from>
      <xdr:col>2</xdr:col>
      <xdr:colOff>417635</xdr:colOff>
      <xdr:row>2</xdr:row>
      <xdr:rowOff>139212</xdr:rowOff>
    </xdr:from>
    <xdr:to>
      <xdr:col>5</xdr:col>
      <xdr:colOff>578827</xdr:colOff>
      <xdr:row>4</xdr:row>
      <xdr:rowOff>14654</xdr:rowOff>
    </xdr:to>
    <xdr:sp macro="" textlink="">
      <xdr:nvSpPr>
        <xdr:cNvPr id="29" name="TextBox 28">
          <a:extLst>
            <a:ext uri="{FF2B5EF4-FFF2-40B4-BE49-F238E27FC236}">
              <a16:creationId xmlns:a16="http://schemas.microsoft.com/office/drawing/2014/main" id="{C40F1935-F715-DFCE-31B7-97ACE3B3FA81}"/>
            </a:ext>
          </a:extLst>
        </xdr:cNvPr>
        <xdr:cNvSpPr txBox="1"/>
      </xdr:nvSpPr>
      <xdr:spPr>
        <a:xfrm>
          <a:off x="1633904" y="505558"/>
          <a:ext cx="1985596" cy="241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Monthly Report</a:t>
          </a:r>
        </a:p>
      </xdr:txBody>
    </xdr:sp>
    <xdr:clientData/>
  </xdr:twoCellAnchor>
  <xdr:twoCellAnchor editAs="absolute">
    <xdr:from>
      <xdr:col>1</xdr:col>
      <xdr:colOff>342900</xdr:colOff>
      <xdr:row>6</xdr:row>
      <xdr:rowOff>42498</xdr:rowOff>
    </xdr:from>
    <xdr:to>
      <xdr:col>3</xdr:col>
      <xdr:colOff>600808</xdr:colOff>
      <xdr:row>7</xdr:row>
      <xdr:rowOff>101112</xdr:rowOff>
    </xdr:to>
    <xdr:sp macro="" textlink="">
      <xdr:nvSpPr>
        <xdr:cNvPr id="30" name="TextBox 29">
          <a:extLst>
            <a:ext uri="{FF2B5EF4-FFF2-40B4-BE49-F238E27FC236}">
              <a16:creationId xmlns:a16="http://schemas.microsoft.com/office/drawing/2014/main" id="{425B20A0-9266-84F2-DD74-91D7622E8199}"/>
            </a:ext>
          </a:extLst>
        </xdr:cNvPr>
        <xdr:cNvSpPr txBox="1"/>
      </xdr:nvSpPr>
      <xdr:spPr>
        <a:xfrm>
          <a:off x="951035" y="1141536"/>
          <a:ext cx="1474177" cy="241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Productivity</a:t>
          </a:r>
        </a:p>
        <a:p>
          <a:pPr algn="ctr"/>
          <a:endParaRPr lang="en-IN" sz="1200" b="1"/>
        </a:p>
      </xdr:txBody>
    </xdr:sp>
    <xdr:clientData/>
  </xdr:twoCellAnchor>
  <xdr:twoCellAnchor editAs="absolute">
    <xdr:from>
      <xdr:col>3</xdr:col>
      <xdr:colOff>512885</xdr:colOff>
      <xdr:row>6</xdr:row>
      <xdr:rowOff>80596</xdr:rowOff>
    </xdr:from>
    <xdr:to>
      <xdr:col>5</xdr:col>
      <xdr:colOff>578827</xdr:colOff>
      <xdr:row>7</xdr:row>
      <xdr:rowOff>106971</xdr:rowOff>
    </xdr:to>
    <xdr:sp macro="" textlink="">
      <xdr:nvSpPr>
        <xdr:cNvPr id="31" name="TextBox 30">
          <a:extLst>
            <a:ext uri="{FF2B5EF4-FFF2-40B4-BE49-F238E27FC236}">
              <a16:creationId xmlns:a16="http://schemas.microsoft.com/office/drawing/2014/main" id="{FDFE0547-C5A9-4BA0-41C5-F2BE48E9B33A}"/>
            </a:ext>
          </a:extLst>
        </xdr:cNvPr>
        <xdr:cNvSpPr txBox="1"/>
      </xdr:nvSpPr>
      <xdr:spPr>
        <a:xfrm>
          <a:off x="2337289" y="1179634"/>
          <a:ext cx="1282211"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Goal</a:t>
          </a:r>
          <a:r>
            <a:rPr lang="en-IN" sz="1200" b="1" baseline="0"/>
            <a:t> Achievement</a:t>
          </a:r>
          <a:endParaRPr lang="en-IN" sz="1200" b="1"/>
        </a:p>
      </xdr:txBody>
    </xdr:sp>
    <xdr:clientData/>
  </xdr:twoCellAnchor>
  <xdr:twoCellAnchor editAs="absolute">
    <xdr:from>
      <xdr:col>5</xdr:col>
      <xdr:colOff>558904</xdr:colOff>
      <xdr:row>6</xdr:row>
      <xdr:rowOff>82656</xdr:rowOff>
    </xdr:from>
    <xdr:to>
      <xdr:col>7</xdr:col>
      <xdr:colOff>573559</xdr:colOff>
      <xdr:row>7</xdr:row>
      <xdr:rowOff>82655</xdr:rowOff>
    </xdr:to>
    <xdr:sp macro="" textlink="">
      <xdr:nvSpPr>
        <xdr:cNvPr id="32" name="TextBox 31">
          <a:extLst>
            <a:ext uri="{FF2B5EF4-FFF2-40B4-BE49-F238E27FC236}">
              <a16:creationId xmlns:a16="http://schemas.microsoft.com/office/drawing/2014/main" id="{6B31482A-DD86-BB47-B891-FD07AB03014D}"/>
            </a:ext>
          </a:extLst>
        </xdr:cNvPr>
        <xdr:cNvSpPr txBox="1"/>
      </xdr:nvSpPr>
      <xdr:spPr>
        <a:xfrm>
          <a:off x="3613202" y="1178425"/>
          <a:ext cx="1236374" cy="182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1"/>
            <a:t>Avg</a:t>
          </a:r>
          <a:r>
            <a:rPr lang="en-IN" sz="1100" b="1" baseline="0"/>
            <a:t> of Study Hours</a:t>
          </a:r>
          <a:endParaRPr lang="en-IN" sz="1100" b="1"/>
        </a:p>
      </xdr:txBody>
    </xdr:sp>
    <xdr:clientData/>
  </xdr:twoCellAnchor>
  <xdr:twoCellAnchor editAs="absolute">
    <xdr:from>
      <xdr:col>2</xdr:col>
      <xdr:colOff>285749</xdr:colOff>
      <xdr:row>5</xdr:row>
      <xdr:rowOff>73270</xdr:rowOff>
    </xdr:from>
    <xdr:to>
      <xdr:col>3</xdr:col>
      <xdr:colOff>102577</xdr:colOff>
      <xdr:row>6</xdr:row>
      <xdr:rowOff>87924</xdr:rowOff>
    </xdr:to>
    <xdr:sp macro="" textlink="'pivot Report'!E38">
      <xdr:nvSpPr>
        <xdr:cNvPr id="33" name="TextBox 32">
          <a:extLst>
            <a:ext uri="{FF2B5EF4-FFF2-40B4-BE49-F238E27FC236}">
              <a16:creationId xmlns:a16="http://schemas.microsoft.com/office/drawing/2014/main" id="{DC9779D5-8755-5CD3-65D4-D8C27FF34E0E}"/>
            </a:ext>
          </a:extLst>
        </xdr:cNvPr>
        <xdr:cNvSpPr txBox="1"/>
      </xdr:nvSpPr>
      <xdr:spPr>
        <a:xfrm>
          <a:off x="1502018" y="989135"/>
          <a:ext cx="424963" cy="197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79F0EA6-85C5-451C-AF8A-34ED6E502A9B}" type="TxLink">
            <a:rPr lang="en-US" sz="1200" b="1" i="0" u="none" strike="noStrike">
              <a:solidFill>
                <a:srgbClr val="000000"/>
              </a:solidFill>
              <a:latin typeface="Calibri"/>
              <a:ea typeface="Calibri"/>
              <a:cs typeface="Calibri"/>
            </a:rPr>
            <a:pPr algn="ctr"/>
            <a:t>54%</a:t>
          </a:fld>
          <a:endParaRPr lang="en-IN" sz="1200" b="1"/>
        </a:p>
      </xdr:txBody>
    </xdr:sp>
    <xdr:clientData/>
  </xdr:twoCellAnchor>
  <xdr:twoCellAnchor editAs="absolute">
    <xdr:from>
      <xdr:col>4</xdr:col>
      <xdr:colOff>278424</xdr:colOff>
      <xdr:row>5</xdr:row>
      <xdr:rowOff>58615</xdr:rowOff>
    </xdr:from>
    <xdr:to>
      <xdr:col>5</xdr:col>
      <xdr:colOff>183173</xdr:colOff>
      <xdr:row>6</xdr:row>
      <xdr:rowOff>36635</xdr:rowOff>
    </xdr:to>
    <xdr:sp macro="" textlink="'pivot Report'!E42">
      <xdr:nvSpPr>
        <xdr:cNvPr id="34" name="TextBox 33">
          <a:extLst>
            <a:ext uri="{FF2B5EF4-FFF2-40B4-BE49-F238E27FC236}">
              <a16:creationId xmlns:a16="http://schemas.microsoft.com/office/drawing/2014/main" id="{F4DDC93B-B224-5461-2BB2-F95BDCB2C0AB}"/>
            </a:ext>
          </a:extLst>
        </xdr:cNvPr>
        <xdr:cNvSpPr txBox="1"/>
      </xdr:nvSpPr>
      <xdr:spPr>
        <a:xfrm>
          <a:off x="2710962" y="974480"/>
          <a:ext cx="512884" cy="16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922CBC2-30CB-4E18-9472-3C79ECD85864}" type="TxLink">
            <a:rPr lang="en-US" sz="1200" b="1" i="0" u="none" strike="noStrike">
              <a:solidFill>
                <a:srgbClr val="000000"/>
              </a:solidFill>
              <a:latin typeface="Calibri"/>
              <a:ea typeface="Calibri"/>
              <a:cs typeface="Calibri"/>
            </a:rPr>
            <a:pPr algn="ctr"/>
            <a:t>87.50%</a:t>
          </a:fld>
          <a:endParaRPr lang="en-IN" sz="1200" b="1"/>
        </a:p>
      </xdr:txBody>
    </xdr:sp>
    <xdr:clientData/>
  </xdr:twoCellAnchor>
  <xdr:twoCellAnchor editAs="absolute">
    <xdr:from>
      <xdr:col>6</xdr:col>
      <xdr:colOff>361198</xdr:colOff>
      <xdr:row>5</xdr:row>
      <xdr:rowOff>56435</xdr:rowOff>
    </xdr:from>
    <xdr:to>
      <xdr:col>7</xdr:col>
      <xdr:colOff>126737</xdr:colOff>
      <xdr:row>6</xdr:row>
      <xdr:rowOff>41781</xdr:rowOff>
    </xdr:to>
    <xdr:sp macro="" textlink="'pivot Report'!E46">
      <xdr:nvSpPr>
        <xdr:cNvPr id="35" name="TextBox 34">
          <a:extLst>
            <a:ext uri="{FF2B5EF4-FFF2-40B4-BE49-F238E27FC236}">
              <a16:creationId xmlns:a16="http://schemas.microsoft.com/office/drawing/2014/main" id="{543C9F44-A316-D578-54E5-D48B352BA3D6}"/>
            </a:ext>
          </a:extLst>
        </xdr:cNvPr>
        <xdr:cNvSpPr txBox="1"/>
      </xdr:nvSpPr>
      <xdr:spPr>
        <a:xfrm>
          <a:off x="4026355" y="969575"/>
          <a:ext cx="376399" cy="16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55053C8-20B1-4B85-83F5-FEADA3A05E0D}" type="TxLink">
            <a:rPr lang="en-US" sz="1200" b="1" i="0" u="none" strike="noStrike">
              <a:solidFill>
                <a:srgbClr val="000000"/>
              </a:solidFill>
              <a:latin typeface="Calibri"/>
              <a:ea typeface="Calibri"/>
              <a:cs typeface="Calibri"/>
            </a:rPr>
            <a:pPr algn="ctr"/>
            <a:t>4.11</a:t>
          </a:fld>
          <a:endParaRPr lang="en-IN" sz="1200" b="1"/>
        </a:p>
      </xdr:txBody>
    </xdr:sp>
    <xdr:clientData/>
  </xdr:twoCellAnchor>
  <xdr:twoCellAnchor editAs="oneCell">
    <xdr:from>
      <xdr:col>3</xdr:col>
      <xdr:colOff>219809</xdr:colOff>
      <xdr:row>5</xdr:row>
      <xdr:rowOff>58616</xdr:rowOff>
    </xdr:from>
    <xdr:to>
      <xdr:col>3</xdr:col>
      <xdr:colOff>476250</xdr:colOff>
      <xdr:row>6</xdr:row>
      <xdr:rowOff>131884</xdr:rowOff>
    </xdr:to>
    <xdr:pic>
      <xdr:nvPicPr>
        <xdr:cNvPr id="37" name="Graphic 36" descr="Bar graph with upward trend with solid fill">
          <a:extLst>
            <a:ext uri="{FF2B5EF4-FFF2-40B4-BE49-F238E27FC236}">
              <a16:creationId xmlns:a16="http://schemas.microsoft.com/office/drawing/2014/main" id="{92DE1C25-2C27-E1C1-763F-34CFAA67A57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44213" y="974481"/>
          <a:ext cx="256441" cy="256441"/>
        </a:xfrm>
        <a:prstGeom prst="rect">
          <a:avLst/>
        </a:prstGeom>
      </xdr:spPr>
    </xdr:pic>
    <xdr:clientData/>
  </xdr:twoCellAnchor>
  <xdr:twoCellAnchor editAs="oneCell">
    <xdr:from>
      <xdr:col>5</xdr:col>
      <xdr:colOff>241789</xdr:colOff>
      <xdr:row>5</xdr:row>
      <xdr:rowOff>51287</xdr:rowOff>
    </xdr:from>
    <xdr:to>
      <xdr:col>5</xdr:col>
      <xdr:colOff>512886</xdr:colOff>
      <xdr:row>6</xdr:row>
      <xdr:rowOff>139211</xdr:rowOff>
    </xdr:to>
    <xdr:pic>
      <xdr:nvPicPr>
        <xdr:cNvPr id="39" name="Graphic 38" descr="Bullseye with solid fill">
          <a:extLst>
            <a:ext uri="{FF2B5EF4-FFF2-40B4-BE49-F238E27FC236}">
              <a16:creationId xmlns:a16="http://schemas.microsoft.com/office/drawing/2014/main" id="{C89FA9FD-D969-BFFA-59F2-685BF4F7C87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282462" y="967152"/>
          <a:ext cx="271097" cy="271097"/>
        </a:xfrm>
        <a:prstGeom prst="rect">
          <a:avLst/>
        </a:prstGeom>
      </xdr:spPr>
    </xdr:pic>
    <xdr:clientData/>
  </xdr:twoCellAnchor>
  <xdr:twoCellAnchor editAs="absolute">
    <xdr:from>
      <xdr:col>0</xdr:col>
      <xdr:colOff>144249</xdr:colOff>
      <xdr:row>5</xdr:row>
      <xdr:rowOff>168415</xdr:rowOff>
    </xdr:from>
    <xdr:to>
      <xdr:col>1</xdr:col>
      <xdr:colOff>453570</xdr:colOff>
      <xdr:row>16</xdr:row>
      <xdr:rowOff>181428</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40584C1D-9B51-4278-9B70-9B54221C0F4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4249" y="1082815"/>
              <a:ext cx="918921" cy="2024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285751</xdr:colOff>
      <xdr:row>5</xdr:row>
      <xdr:rowOff>73269</xdr:rowOff>
    </xdr:from>
    <xdr:to>
      <xdr:col>7</xdr:col>
      <xdr:colOff>533400</xdr:colOff>
      <xdr:row>6</xdr:row>
      <xdr:rowOff>137745</xdr:rowOff>
    </xdr:to>
    <xdr:pic>
      <xdr:nvPicPr>
        <xdr:cNvPr id="41" name="Graphic 40" descr="Hourglass Finished with solid fill">
          <a:extLst>
            <a:ext uri="{FF2B5EF4-FFF2-40B4-BE49-F238E27FC236}">
              <a16:creationId xmlns:a16="http://schemas.microsoft.com/office/drawing/2014/main" id="{CBAA8ED4-D872-6754-3516-76A8FD57865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42693" y="989134"/>
          <a:ext cx="247649" cy="247649"/>
        </a:xfrm>
        <a:prstGeom prst="rect">
          <a:avLst/>
        </a:prstGeom>
      </xdr:spPr>
    </xdr:pic>
    <xdr:clientData/>
  </xdr:twoCellAnchor>
  <xdr:twoCellAnchor>
    <xdr:from>
      <xdr:col>1</xdr:col>
      <xdr:colOff>503801</xdr:colOff>
      <xdr:row>6</xdr:row>
      <xdr:rowOff>50380</xdr:rowOff>
    </xdr:from>
    <xdr:to>
      <xdr:col>3</xdr:col>
      <xdr:colOff>528991</xdr:colOff>
      <xdr:row>10</xdr:row>
      <xdr:rowOff>44761</xdr:rowOff>
    </xdr:to>
    <xdr:graphicFrame macro="">
      <xdr:nvGraphicFramePr>
        <xdr:cNvPr id="7" name="Chart 6">
          <a:hlinkClick xmlns:r="http://schemas.openxmlformats.org/officeDocument/2006/relationships" r:id="rId8"/>
          <a:extLst>
            <a:ext uri="{FF2B5EF4-FFF2-40B4-BE49-F238E27FC236}">
              <a16:creationId xmlns:a16="http://schemas.microsoft.com/office/drawing/2014/main" id="{BB933741-D6D1-51A9-5D3C-3F598EDB8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239306</xdr:colOff>
      <xdr:row>4</xdr:row>
      <xdr:rowOff>88165</xdr:rowOff>
    </xdr:from>
    <xdr:to>
      <xdr:col>5</xdr:col>
      <xdr:colOff>585667</xdr:colOff>
      <xdr:row>12</xdr:row>
      <xdr:rowOff>81868</xdr:rowOff>
    </xdr:to>
    <xdr:graphicFrame macro="">
      <xdr:nvGraphicFramePr>
        <xdr:cNvPr id="19" name="Chart 18">
          <a:hlinkClick xmlns:r="http://schemas.openxmlformats.org/officeDocument/2006/relationships" r:id="rId10"/>
          <a:extLst>
            <a:ext uri="{FF2B5EF4-FFF2-40B4-BE49-F238E27FC236}">
              <a16:creationId xmlns:a16="http://schemas.microsoft.com/office/drawing/2014/main" id="{1F93D8E4-AAB5-4CB0-8993-686F955FB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510100</xdr:colOff>
      <xdr:row>6</xdr:row>
      <xdr:rowOff>6296</xdr:rowOff>
    </xdr:from>
    <xdr:to>
      <xdr:col>7</xdr:col>
      <xdr:colOff>573075</xdr:colOff>
      <xdr:row>10</xdr:row>
      <xdr:rowOff>56677</xdr:rowOff>
    </xdr:to>
    <xdr:graphicFrame macro="">
      <xdr:nvGraphicFramePr>
        <xdr:cNvPr id="27" name="Chart 26">
          <a:hlinkClick xmlns:r="http://schemas.openxmlformats.org/officeDocument/2006/relationships" r:id="rId12"/>
          <a:extLst>
            <a:ext uri="{FF2B5EF4-FFF2-40B4-BE49-F238E27FC236}">
              <a16:creationId xmlns:a16="http://schemas.microsoft.com/office/drawing/2014/main" id="{BD2E4D70-9060-4DA5-A4EC-D9238468B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195898</xdr:colOff>
      <xdr:row>17</xdr:row>
      <xdr:rowOff>18495</xdr:rowOff>
    </xdr:from>
    <xdr:to>
      <xdr:col>7</xdr:col>
      <xdr:colOff>365930</xdr:colOff>
      <xdr:row>28</xdr:row>
      <xdr:rowOff>181029</xdr:rowOff>
    </xdr:to>
    <xdr:graphicFrame macro="">
      <xdr:nvGraphicFramePr>
        <xdr:cNvPr id="2" name="Chart 1">
          <a:extLst>
            <a:ext uri="{FF2B5EF4-FFF2-40B4-BE49-F238E27FC236}">
              <a16:creationId xmlns:a16="http://schemas.microsoft.com/office/drawing/2014/main" id="{999F9F3A-00B7-4848-8D59-DED491E96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35735</xdr:colOff>
      <xdr:row>29</xdr:row>
      <xdr:rowOff>101186</xdr:rowOff>
    </xdr:from>
    <xdr:to>
      <xdr:col>6</xdr:col>
      <xdr:colOff>249851</xdr:colOff>
      <xdr:row>30</xdr:row>
      <xdr:rowOff>145268</xdr:rowOff>
    </xdr:to>
    <xdr:sp macro="" textlink="">
      <xdr:nvSpPr>
        <xdr:cNvPr id="11" name="TextBox 10">
          <a:extLst>
            <a:ext uri="{FF2B5EF4-FFF2-40B4-BE49-F238E27FC236}">
              <a16:creationId xmlns:a16="http://schemas.microsoft.com/office/drawing/2014/main" id="{200354DB-371A-0A1D-ADC4-AB15C198A899}"/>
            </a:ext>
          </a:extLst>
        </xdr:cNvPr>
        <xdr:cNvSpPr txBox="1"/>
      </xdr:nvSpPr>
      <xdr:spPr>
        <a:xfrm>
          <a:off x="1861123" y="5378320"/>
          <a:ext cx="2039504" cy="226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baseline="0"/>
            <a:t>Weekly </a:t>
          </a:r>
          <a:r>
            <a:rPr lang="en-IN" b="1"/>
            <a:t>Performance (Month)</a:t>
          </a:r>
        </a:p>
        <a:p>
          <a:pPr algn="ctr"/>
          <a:endParaRPr lang="en-IN" sz="1100" b="1"/>
        </a:p>
      </xdr:txBody>
    </xdr:sp>
    <xdr:clientData/>
  </xdr:twoCellAnchor>
  <xdr:twoCellAnchor>
    <xdr:from>
      <xdr:col>7</xdr:col>
      <xdr:colOff>338937</xdr:colOff>
      <xdr:row>19</xdr:row>
      <xdr:rowOff>13649</xdr:rowOff>
    </xdr:from>
    <xdr:to>
      <xdr:col>13</xdr:col>
      <xdr:colOff>418354</xdr:colOff>
      <xdr:row>32</xdr:row>
      <xdr:rowOff>110412</xdr:rowOff>
    </xdr:to>
    <xdr:graphicFrame macro="">
      <xdr:nvGraphicFramePr>
        <xdr:cNvPr id="21" name="Chart 20">
          <a:extLst>
            <a:ext uri="{FF2B5EF4-FFF2-40B4-BE49-F238E27FC236}">
              <a16:creationId xmlns:a16="http://schemas.microsoft.com/office/drawing/2014/main" id="{E04039A3-E113-46FB-BBE2-040DFEBA9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132894</xdr:colOff>
      <xdr:row>17</xdr:row>
      <xdr:rowOff>84287</xdr:rowOff>
    </xdr:from>
    <xdr:to>
      <xdr:col>1</xdr:col>
      <xdr:colOff>440102</xdr:colOff>
      <xdr:row>29</xdr:row>
      <xdr:rowOff>126725</xdr:rowOff>
    </xdr:to>
    <mc:AlternateContent xmlns:mc="http://schemas.openxmlformats.org/markup-compatibility/2006" xmlns:a14="http://schemas.microsoft.com/office/drawing/2010/main">
      <mc:Choice Requires="a14">
        <xdr:graphicFrame macro="">
          <xdr:nvGraphicFramePr>
            <xdr:cNvPr id="15" name="Day">
              <a:extLst>
                <a:ext uri="{FF2B5EF4-FFF2-40B4-BE49-F238E27FC236}">
                  <a16:creationId xmlns:a16="http://schemas.microsoft.com/office/drawing/2014/main" id="{63DD35A9-0AB4-4C61-8D3A-9C6EC3F5944F}"/>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32894" y="3193247"/>
              <a:ext cx="916808" cy="2236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511047</xdr:colOff>
      <xdr:row>9</xdr:row>
      <xdr:rowOff>161636</xdr:rowOff>
    </xdr:from>
    <xdr:to>
      <xdr:col>7</xdr:col>
      <xdr:colOff>554183</xdr:colOff>
      <xdr:row>15</xdr:row>
      <xdr:rowOff>107757</xdr:rowOff>
    </xdr:to>
    <xdr:graphicFrame macro="">
      <xdr:nvGraphicFramePr>
        <xdr:cNvPr id="16" name="Chart 15">
          <a:extLst>
            <a:ext uri="{FF2B5EF4-FFF2-40B4-BE49-F238E27FC236}">
              <a16:creationId xmlns:a16="http://schemas.microsoft.com/office/drawing/2014/main" id="{DDC5BDD4-7E2F-4917-B8BB-9C9AB94E8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378390</xdr:colOff>
      <xdr:row>6</xdr:row>
      <xdr:rowOff>29306</xdr:rowOff>
    </xdr:from>
    <xdr:to>
      <xdr:col>13</xdr:col>
      <xdr:colOff>196640</xdr:colOff>
      <xdr:row>18</xdr:row>
      <xdr:rowOff>85317</xdr:rowOff>
    </xdr:to>
    <xdr:graphicFrame macro="">
      <xdr:nvGraphicFramePr>
        <xdr:cNvPr id="17" name="Chart 16">
          <a:extLst>
            <a:ext uri="{FF2B5EF4-FFF2-40B4-BE49-F238E27FC236}">
              <a16:creationId xmlns:a16="http://schemas.microsoft.com/office/drawing/2014/main" id="{D1656FFC-E152-4C6E-A0C2-0BB2AEA48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45357</xdr:colOff>
      <xdr:row>0</xdr:row>
      <xdr:rowOff>55692</xdr:rowOff>
    </xdr:from>
    <xdr:to>
      <xdr:col>13</xdr:col>
      <xdr:colOff>426357</xdr:colOff>
      <xdr:row>5</xdr:row>
      <xdr:rowOff>79598</xdr:rowOff>
    </xdr:to>
    <xdr:graphicFrame macro="">
      <xdr:nvGraphicFramePr>
        <xdr:cNvPr id="22" name="Chart 21">
          <a:extLst>
            <a:ext uri="{FF2B5EF4-FFF2-40B4-BE49-F238E27FC236}">
              <a16:creationId xmlns:a16="http://schemas.microsoft.com/office/drawing/2014/main" id="{50046759-9C10-4AF8-B771-0FA1251D0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0.15555</cdr:x>
      <cdr:y>0.68613</cdr:y>
    </cdr:from>
    <cdr:to>
      <cdr:x>0.75396</cdr:x>
      <cdr:y>0.91971</cdr:y>
    </cdr:to>
    <cdr:sp macro="" textlink="">
      <cdr:nvSpPr>
        <cdr:cNvPr id="2" name="TextBox 1">
          <a:extLst xmlns:a="http://schemas.openxmlformats.org/drawingml/2006/main">
            <a:ext uri="{FF2B5EF4-FFF2-40B4-BE49-F238E27FC236}">
              <a16:creationId xmlns:a16="http://schemas.microsoft.com/office/drawing/2014/main" id="{66D53E03-CD21-7F29-AC70-A63E763424FC}"/>
            </a:ext>
          </a:extLst>
        </cdr:cNvPr>
        <cdr:cNvSpPr txBox="1"/>
      </cdr:nvSpPr>
      <cdr:spPr>
        <a:xfrm xmlns:a="http://schemas.openxmlformats.org/drawingml/2006/main">
          <a:off x="574226" y="723515"/>
          <a:ext cx="2209031" cy="2463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b="1"/>
            <a:t>Monthly</a:t>
          </a:r>
          <a:r>
            <a:rPr lang="en-IN" b="1" baseline="0"/>
            <a:t> </a:t>
          </a:r>
          <a:r>
            <a:rPr lang="en-IN" b="1"/>
            <a:t>Focus Analysis</a:t>
          </a:r>
          <a:endParaRPr lang="en-IN" sz="1100" b="1" kern="1200"/>
        </a:p>
      </cdr:txBody>
    </cdr:sp>
  </cdr:relSizeAnchor>
</c:userShapes>
</file>

<file path=xl/drawings/drawing3.xml><?xml version="1.0" encoding="utf-8"?>
<c:userShapes xmlns:c="http://schemas.openxmlformats.org/drawingml/2006/chart">
  <cdr:relSizeAnchor xmlns:cdr="http://schemas.openxmlformats.org/drawingml/2006/chartDrawing">
    <cdr:from>
      <cdr:x>0</cdr:x>
      <cdr:y>0.87458</cdr:y>
    </cdr:from>
    <cdr:to>
      <cdr:x>1</cdr:x>
      <cdr:y>1</cdr:y>
    </cdr:to>
    <cdr:sp macro="" textlink="">
      <cdr:nvSpPr>
        <cdr:cNvPr id="6" name="TextBox 5">
          <a:extLst xmlns:a="http://schemas.openxmlformats.org/drawingml/2006/main">
            <a:ext uri="{FF2B5EF4-FFF2-40B4-BE49-F238E27FC236}">
              <a16:creationId xmlns:a16="http://schemas.microsoft.com/office/drawing/2014/main" id="{F3E160CB-4410-8DDD-A94E-FFCAEBE497AD}"/>
            </a:ext>
          </a:extLst>
        </cdr:cNvPr>
        <cdr:cNvSpPr txBox="1"/>
      </cdr:nvSpPr>
      <cdr:spPr>
        <a:xfrm xmlns:a="http://schemas.openxmlformats.org/drawingml/2006/main">
          <a:off x="0" y="1985818"/>
          <a:ext cx="2288359" cy="2847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b="1"/>
            <a:t>Study–Sleep–Focus Monthly Trends</a:t>
          </a:r>
        </a:p>
        <a:p xmlns:a="http://schemas.openxmlformats.org/drawingml/2006/main">
          <a:endParaRPr lang="en-IN" sz="1100" b="1" kern="1200"/>
        </a:p>
      </cdr:txBody>
    </cdr:sp>
  </cdr:relSizeAnchor>
</c:userShapes>
</file>

<file path=xl/drawings/drawing4.xml><?xml version="1.0" encoding="utf-8"?>
<c:userShapes xmlns:c="http://schemas.openxmlformats.org/drawingml/2006/chart">
  <cdr:relSizeAnchor xmlns:cdr="http://schemas.openxmlformats.org/drawingml/2006/chartDrawing">
    <cdr:from>
      <cdr:x>0.11746</cdr:x>
      <cdr:y>0.53129</cdr:y>
    </cdr:from>
    <cdr:to>
      <cdr:x>0.92881</cdr:x>
      <cdr:y>0.79145</cdr:y>
    </cdr:to>
    <cdr:sp macro="" textlink="">
      <cdr:nvSpPr>
        <cdr:cNvPr id="2" name="TextBox 1">
          <a:extLst xmlns:a="http://schemas.openxmlformats.org/drawingml/2006/main">
            <a:ext uri="{FF2B5EF4-FFF2-40B4-BE49-F238E27FC236}">
              <a16:creationId xmlns:a16="http://schemas.microsoft.com/office/drawing/2014/main" id="{09B110ED-302E-9F00-1AC1-98EE1120E874}"/>
            </a:ext>
          </a:extLst>
        </cdr:cNvPr>
        <cdr:cNvSpPr txBox="1"/>
      </cdr:nvSpPr>
      <cdr:spPr>
        <a:xfrm xmlns:a="http://schemas.openxmlformats.org/drawingml/2006/main">
          <a:off x="401704" y="494659"/>
          <a:ext cx="2774759" cy="2422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b="1"/>
            <a:t>Impact of Mobile Usage on Study Hours</a:t>
          </a:r>
          <a:endParaRPr lang="en-IN" sz="1100" b="1"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99060</xdr:colOff>
      <xdr:row>0</xdr:row>
      <xdr:rowOff>38100</xdr:rowOff>
    </xdr:from>
    <xdr:to>
      <xdr:col>16</xdr:col>
      <xdr:colOff>548640</xdr:colOff>
      <xdr:row>27</xdr:row>
      <xdr:rowOff>106680</xdr:rowOff>
    </xdr:to>
    <xdr:graphicFrame macro="">
      <xdr:nvGraphicFramePr>
        <xdr:cNvPr id="2" name="Chart 1">
          <a:extLst>
            <a:ext uri="{FF2B5EF4-FFF2-40B4-BE49-F238E27FC236}">
              <a16:creationId xmlns:a16="http://schemas.microsoft.com/office/drawing/2014/main" id="{80CDBA57-766E-4294-8410-6CAD909E3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121920</xdr:colOff>
      <xdr:row>0</xdr:row>
      <xdr:rowOff>60960</xdr:rowOff>
    </xdr:from>
    <xdr:to>
      <xdr:col>1</xdr:col>
      <xdr:colOff>15240</xdr:colOff>
      <xdr:row>3</xdr:row>
      <xdr:rowOff>15240</xdr:rowOff>
    </xdr:to>
    <xdr:pic>
      <xdr:nvPicPr>
        <xdr:cNvPr id="4" name="Graphic 3" descr="Bar graph with upward trend with solid fill">
          <a:hlinkClick xmlns:r="http://schemas.openxmlformats.org/officeDocument/2006/relationships" r:id="rId2"/>
          <a:extLst>
            <a:ext uri="{FF2B5EF4-FFF2-40B4-BE49-F238E27FC236}">
              <a16:creationId xmlns:a16="http://schemas.microsoft.com/office/drawing/2014/main" id="{F66EE967-2250-8D54-A947-11D42749C8C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1920" y="60960"/>
          <a:ext cx="502920" cy="5029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175260</xdr:colOff>
      <xdr:row>0</xdr:row>
      <xdr:rowOff>106680</xdr:rowOff>
    </xdr:from>
    <xdr:to>
      <xdr:col>17</xdr:col>
      <xdr:colOff>83820</xdr:colOff>
      <xdr:row>26</xdr:row>
      <xdr:rowOff>106680</xdr:rowOff>
    </xdr:to>
    <xdr:graphicFrame macro="">
      <xdr:nvGraphicFramePr>
        <xdr:cNvPr id="2" name="Chart 1">
          <a:extLst>
            <a:ext uri="{FF2B5EF4-FFF2-40B4-BE49-F238E27FC236}">
              <a16:creationId xmlns:a16="http://schemas.microsoft.com/office/drawing/2014/main" id="{8E2BC7D8-7A6F-4870-BBFA-1461CCBF5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236220</xdr:colOff>
      <xdr:row>1</xdr:row>
      <xdr:rowOff>7620</xdr:rowOff>
    </xdr:from>
    <xdr:to>
      <xdr:col>1</xdr:col>
      <xdr:colOff>38100</xdr:colOff>
      <xdr:row>3</xdr:row>
      <xdr:rowOff>53340</xdr:rowOff>
    </xdr:to>
    <xdr:pic>
      <xdr:nvPicPr>
        <xdr:cNvPr id="4" name="Graphic 3" descr="Bullseye with solid fill">
          <a:hlinkClick xmlns:r="http://schemas.openxmlformats.org/officeDocument/2006/relationships" r:id="rId2"/>
          <a:extLst>
            <a:ext uri="{FF2B5EF4-FFF2-40B4-BE49-F238E27FC236}">
              <a16:creationId xmlns:a16="http://schemas.microsoft.com/office/drawing/2014/main" id="{F705B38B-AF44-82E9-6541-0CF577D4C8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6220" y="190500"/>
          <a:ext cx="411480" cy="4114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30480</xdr:colOff>
      <xdr:row>0</xdr:row>
      <xdr:rowOff>121920</xdr:rowOff>
    </xdr:from>
    <xdr:to>
      <xdr:col>16</xdr:col>
      <xdr:colOff>45720</xdr:colOff>
      <xdr:row>25</xdr:row>
      <xdr:rowOff>152400</xdr:rowOff>
    </xdr:to>
    <xdr:graphicFrame macro="">
      <xdr:nvGraphicFramePr>
        <xdr:cNvPr id="2" name="Chart 1">
          <a:extLst>
            <a:ext uri="{FF2B5EF4-FFF2-40B4-BE49-F238E27FC236}">
              <a16:creationId xmlns:a16="http://schemas.microsoft.com/office/drawing/2014/main" id="{11BD70DF-C45A-449E-B89A-062EBF62C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0.0468</cdr:x>
      <cdr:y>0.09934</cdr:y>
    </cdr:to>
    <cdr:pic>
      <cdr:nvPicPr>
        <cdr:cNvPr id="3" name="Graphic 2" descr="Hourglass Finished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F4CFB0C-08DB-36AE-C028-3CFD060BCBC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57200" cy="45720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 " refreshedDate="45994.601398611114" createdVersion="8" refreshedVersion="8" minRefreshableVersion="3" recordCount="180" xr:uid="{E2C8A7C8-E9D8-4810-9FDC-76C1C2F1BA65}">
  <cacheSource type="worksheet">
    <worksheetSource ref="A1:R181" sheet="Data"/>
  </cacheSource>
  <cacheFields count="20">
    <cacheField name="Date" numFmtId="164">
      <sharedItems containsSemiMixedTypes="0" containsNonDate="0" containsDate="1" containsString="0" minDate="2025-01-01T00:00:00" maxDate="2025-06-30T00:00:00" count="18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sharedItems>
      <fieldGroup par="19"/>
    </cacheField>
    <cacheField name="Month" numFmtId="164">
      <sharedItems count="6">
        <s v="January"/>
        <s v="February"/>
        <s v="March"/>
        <s v="April"/>
        <s v="May"/>
        <s v="June"/>
      </sharedItems>
    </cacheField>
    <cacheField name="Week_Num" numFmtId="0">
      <sharedItems containsSemiMixedTypes="0" containsString="0" containsNumber="1" containsInteger="1" minValue="1" maxValue="26" count="26">
        <n v="1"/>
        <n v="2"/>
        <n v="3"/>
        <n v="4"/>
        <n v="5"/>
        <n v="6"/>
        <n v="7"/>
        <n v="8"/>
        <n v="9"/>
        <n v="10"/>
        <n v="11"/>
        <n v="12"/>
        <n v="13"/>
        <n v="14"/>
        <n v="15"/>
        <n v="16"/>
        <n v="17"/>
        <n v="18"/>
        <n v="19"/>
        <n v="20"/>
        <n v="21"/>
        <n v="22"/>
        <n v="23"/>
        <n v="24"/>
        <n v="25"/>
        <n v="26"/>
      </sharedItems>
    </cacheField>
    <cacheField name="Day" numFmtId="49">
      <sharedItems count="7">
        <s v="Wednesday"/>
        <s v="Thursday"/>
        <s v="Friday"/>
        <s v="Saturday"/>
        <s v="Sunday"/>
        <s v="Monday"/>
        <s v="Tuesday"/>
      </sharedItems>
    </cacheField>
    <cacheField name="Study_Hours" numFmtId="2">
      <sharedItems containsSemiMixedTypes="0" containsString="0" containsNumber="1" minValue="1.02" maxValue="5.97" count="151">
        <n v="2.75"/>
        <n v="1.87"/>
        <n v="4.93"/>
        <n v="5.96"/>
        <n v="4"/>
        <n v="1.36"/>
        <n v="4.32"/>
        <n v="2.46"/>
        <n v="1.43"/>
        <n v="5.71"/>
        <n v="2.73"/>
        <n v="4.95"/>
        <n v="4.3600000000000003"/>
        <n v="1.71"/>
        <n v="1.81"/>
        <n v="3.64"/>
        <n v="2.2799999999999998"/>
        <n v="2"/>
        <n v="4.22"/>
        <n v="1.92"/>
        <n v="3.89"/>
        <n v="4.63"/>
        <n v="4.92"/>
        <n v="2.02"/>
        <n v="4.01"/>
        <n v="2.58"/>
        <n v="5.95"/>
        <n v="3.13"/>
        <n v="5.08"/>
        <n v="1.2"/>
        <n v="4.3"/>
        <n v="4.6100000000000003"/>
        <n v="3.85"/>
        <n v="5.8"/>
        <n v="4.21"/>
        <n v="3"/>
        <n v="2.81"/>
        <n v="3.98"/>
        <n v="3.22"/>
        <n v="5.69"/>
        <n v="3.36"/>
        <n v="3.68"/>
        <n v="3.08"/>
        <n v="4.5599999999999996"/>
        <n v="4.33"/>
        <n v="1.28"/>
        <n v="4.72"/>
        <n v="4.97"/>
        <n v="1.42"/>
        <n v="2.15"/>
        <n v="1.1000000000000001"/>
        <n v="3.45"/>
        <n v="2.1800000000000002"/>
        <n v="2.5299999999999998"/>
        <n v="3.27"/>
        <n v="2.4700000000000002"/>
        <n v="4.29"/>
        <n v="4.9000000000000004"/>
        <n v="5.75"/>
        <n v="1.23"/>
        <n v="4.46"/>
        <n v="4.87"/>
        <n v="2.17"/>
        <n v="3.33"/>
        <n v="2.33"/>
        <n v="1.21"/>
        <n v="3.79"/>
        <n v="2.31"/>
        <n v="4.58"/>
        <n v="1.64"/>
        <n v="1.55"/>
        <n v="3.01"/>
        <n v="3.09"/>
        <n v="4.03"/>
        <n v="3.84"/>
        <n v="1.07"/>
        <n v="3.6"/>
        <n v="3.59"/>
        <n v="2.42"/>
        <n v="5.45"/>
        <n v="4.88"/>
        <n v="1.1200000000000001"/>
        <n v="5.84"/>
        <n v="2.4900000000000002"/>
        <n v="1.97"/>
        <n v="2.92"/>
        <n v="2.64"/>
        <n v="5.4"/>
        <n v="2.76"/>
        <n v="4.59"/>
        <n v="2.2000000000000002"/>
        <n v="1.98"/>
        <n v="1.02"/>
        <n v="4.38"/>
        <n v="5.0199999999999996"/>
        <n v="3.92"/>
        <n v="5.77"/>
        <n v="5.38"/>
        <n v="3.15"/>
        <n v="1.18"/>
        <n v="4.08"/>
        <n v="3.03"/>
        <n v="4.51"/>
        <n v="3.46"/>
        <n v="4.76"/>
        <n v="4.18"/>
        <n v="3.8"/>
        <n v="3.31"/>
        <n v="3.54"/>
        <n v="1.1499999999999999"/>
        <n v="3.47"/>
        <n v="3.95"/>
        <n v="3.78"/>
        <n v="1.17"/>
        <n v="5.76"/>
        <n v="5.3"/>
        <n v="3.71"/>
        <n v="4.0999999999999996"/>
        <n v="4.5199999999999996"/>
        <n v="2.39"/>
        <n v="3.58"/>
        <n v="4.6500000000000004"/>
        <n v="4.3499999999999996"/>
        <n v="4.17"/>
        <n v="5.67"/>
        <n v="4.2300000000000004"/>
        <n v="2.85"/>
        <n v="3.99"/>
        <n v="2.62"/>
        <n v="5.27"/>
        <n v="2.27"/>
        <n v="4.24"/>
        <n v="5.17"/>
        <n v="5.21"/>
        <n v="5.62"/>
        <n v="5.97"/>
        <n v="4.68"/>
        <n v="2.98"/>
        <n v="5.04"/>
        <n v="4.99"/>
        <n v="4.7"/>
        <n v="4.16"/>
        <n v="5.57"/>
        <n v="1.76"/>
        <n v="4.8499999999999996"/>
        <n v="5.16"/>
        <n v="2.5099999999999998"/>
        <n v="5.03"/>
        <n v="4.26"/>
        <n v="2.2599999999999998"/>
        <n v="4.62"/>
      </sharedItems>
    </cacheField>
    <cacheField name="Sleep_Hours" numFmtId="2">
      <sharedItems containsSemiMixedTypes="0" containsString="0" containsNumber="1" minValue="5.1100000000000003" maxValue="8.9700000000000006" count="144">
        <n v="6.1"/>
        <n v="6.85"/>
        <n v="7.17"/>
        <n v="7.87"/>
        <n v="7.23"/>
        <n v="8.1999999999999993"/>
        <n v="7.92"/>
        <n v="8.68"/>
        <n v="8.49"/>
        <n v="5.4"/>
        <n v="6.38"/>
        <n v="5.13"/>
        <n v="7.93"/>
        <n v="6.13"/>
        <n v="8.56"/>
        <n v="5.99"/>
        <n v="5.62"/>
        <n v="5.77"/>
        <n v="7.33"/>
        <n v="8.5"/>
        <n v="5.89"/>
        <n v="6.96"/>
        <n v="8.73"/>
        <n v="6.83"/>
        <n v="6.15"/>
        <n v="8.25"/>
        <n v="5.48"/>
        <n v="8.69"/>
        <n v="8.42"/>
        <n v="5.78"/>
        <n v="6.26"/>
        <n v="7.18"/>
        <n v="6.98"/>
        <n v="8.0399999999999991"/>
        <n v="6.97"/>
        <n v="5.34"/>
        <n v="7.8"/>
        <n v="5.58"/>
        <n v="6.77"/>
        <n v="6.25"/>
        <n v="8.51"/>
        <n v="5.68"/>
        <n v="8.11"/>
        <n v="5.14"/>
        <n v="5.12"/>
        <n v="8.34"/>
        <n v="5.65"/>
        <n v="5.33"/>
        <n v="7.39"/>
        <n v="8.67"/>
        <n v="6.54"/>
        <n v="6.03"/>
        <n v="6.04"/>
        <n v="6.62"/>
        <n v="8.57"/>
        <n v="5.18"/>
        <n v="5.28"/>
        <n v="6.91"/>
        <n v="5.27"/>
        <n v="7.6"/>
        <n v="6.39"/>
        <n v="8.76"/>
        <n v="5.64"/>
        <n v="6.8"/>
        <n v="5.32"/>
        <n v="6.02"/>
        <n v="6.94"/>
        <n v="6.21"/>
        <n v="6.81"/>
        <n v="6.76"/>
        <n v="5.49"/>
        <n v="6.35"/>
        <n v="5.75"/>
        <n v="7.67"/>
        <n v="6.5"/>
        <n v="8.24"/>
        <n v="8.91"/>
        <n v="5.37"/>
        <n v="7.19"/>
        <n v="7.42"/>
        <n v="7.3"/>
        <n v="7.37"/>
        <n v="5.85"/>
        <n v="5.29"/>
        <n v="7.34"/>
        <n v="7.01"/>
        <n v="6.08"/>
        <n v="8.2799999999999994"/>
        <n v="7.46"/>
        <n v="7.89"/>
        <n v="7.12"/>
        <n v="5.15"/>
        <n v="7.29"/>
        <n v="7.96"/>
        <n v="8.43"/>
        <n v="7.98"/>
        <n v="8.26"/>
        <n v="8.92"/>
        <n v="8.65"/>
        <n v="6.09"/>
        <n v="6.2"/>
        <n v="6.07"/>
        <n v="5.1100000000000003"/>
        <n v="5.97"/>
        <n v="5.38"/>
        <n v="7.06"/>
        <n v="7.14"/>
        <n v="8.9"/>
        <n v="5.8"/>
        <n v="8.3699999999999992"/>
        <n v="8.0299999999999994"/>
        <n v="6.7"/>
        <n v="7.05"/>
        <n v="6.65"/>
        <n v="5.31"/>
        <n v="6.58"/>
        <n v="7.15"/>
        <n v="7.36"/>
        <n v="8.02"/>
        <n v="5.17"/>
        <n v="8.35"/>
        <n v="5.82"/>
        <n v="7.74"/>
        <n v="8.89"/>
        <n v="7.28"/>
        <n v="8.4"/>
        <n v="5.41"/>
        <n v="5.3"/>
        <n v="7.7"/>
        <n v="6.16"/>
        <n v="5.45"/>
        <n v="7.31"/>
        <n v="5.57"/>
        <n v="8.83"/>
        <n v="5.2"/>
        <n v="8.16"/>
        <n v="5.79"/>
        <n v="8.74"/>
        <n v="5.44"/>
        <n v="5.81"/>
        <n v="6.93"/>
        <n v="7.16"/>
        <n v="8.9700000000000006"/>
        <n v="8.1199999999999992"/>
      </sharedItems>
      <fieldGroup base="5">
        <rangePr autoStart="0" autoEnd="0" startNum="4" endNum="10"/>
        <groupItems count="8">
          <s v="&lt;4"/>
          <s v="4-5"/>
          <s v="5-6"/>
          <s v="6-7"/>
          <s v="7-8"/>
          <s v="8-9"/>
          <s v="9-10"/>
          <s v="&gt;10"/>
        </groupItems>
      </fieldGroup>
    </cacheField>
    <cacheField name="Exercise_Hours" numFmtId="2">
      <sharedItems containsSemiMixedTypes="0" containsString="0" containsNumber="1" minValue="0.02" maxValue="2"/>
    </cacheField>
    <cacheField name="Mobile_Hours" numFmtId="2">
      <sharedItems containsSemiMixedTypes="0" containsString="0" containsNumber="1" minValue="1.03" maxValue="4.99"/>
    </cacheField>
    <cacheField name="Gaming_Hours" numFmtId="2">
      <sharedItems containsSemiMixedTypes="0" containsString="0" containsNumber="1" minValue="0.01" maxValue="2.99"/>
    </cacheField>
    <cacheField name="TV_Hours" numFmtId="2">
      <sharedItems containsSemiMixedTypes="0" containsString="0" containsNumber="1" minValue="0.03" maxValue="2"/>
    </cacheField>
    <cacheField name="Reading_Hours" numFmtId="2">
      <sharedItems containsSemiMixedTypes="0" containsString="0" containsNumber="1" minValue="0.01" maxValue="2"/>
    </cacheField>
    <cacheField name="Mood_Score" numFmtId="1">
      <sharedItems containsSemiMixedTypes="0" containsString="0" containsNumber="1" containsInteger="1" minValue="1" maxValue="10"/>
    </cacheField>
    <cacheField name="Planned Hours " numFmtId="1">
      <sharedItems containsSemiMixedTypes="0" containsString="0" containsNumber="1" containsInteger="1" minValue="5" maxValue="7"/>
    </cacheField>
    <cacheField name="Goal_Achievement" numFmtId="10">
      <sharedItems containsSemiMixedTypes="0" containsString="0" containsNumber="1" minValue="0.22142857142857145" maxValue="1"/>
    </cacheField>
    <cacheField name="Total_Productive_Hours" numFmtId="2">
      <sharedItems containsSemiMixedTypes="0" containsString="0" containsNumber="1" minValue="1.55" maxValue="9.2899999999999991"/>
    </cacheField>
    <cacheField name="Unproductive_Hours" numFmtId="2">
      <sharedItems containsSemiMixedTypes="0" containsString="0" containsNumber="1" minValue="2.2199999999999998" maxValue="8.870000000000001"/>
    </cacheField>
    <cacheField name="Focus_Score" numFmtId="2">
      <sharedItems containsSemiMixedTypes="0" containsString="0" containsNumber="1" minValue="1.637" maxValue="4.694"/>
    </cacheField>
    <cacheField name="Productivity_Index" numFmtId="10">
      <sharedItems containsSemiMixedTypes="0" containsString="0" containsNumber="1" minValue="0.21408839779005526" maxValue="0.75764192139737996"/>
    </cacheField>
    <cacheField name="Days (Date)" numFmtId="0" databaseField="0">
      <fieldGroup base="0">
        <rangePr groupBy="days" startDate="2025-01-01T00:00:00" endDate="2025-06-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5"/>
        </groupItems>
      </fieldGroup>
    </cacheField>
    <cacheField name="Months (Date)" numFmtId="0" databaseField="0">
      <fieldGroup base="0">
        <rangePr groupBy="months" startDate="2025-01-01T00:00:00" endDate="2025-06-30T00:00:00"/>
        <groupItems count="14">
          <s v="&lt;01-01-2025"/>
          <s v="Jan"/>
          <s v="Feb"/>
          <s v="Mar"/>
          <s v="Apr"/>
          <s v="May"/>
          <s v="Jun"/>
          <s v="Jul"/>
          <s v="Aug"/>
          <s v="Sep"/>
          <s v="Oct"/>
          <s v="Nov"/>
          <s v="Dec"/>
          <s v="&gt;30-06-2025"/>
        </groupItems>
      </fieldGroup>
    </cacheField>
  </cacheFields>
  <extLst>
    <ext xmlns:x14="http://schemas.microsoft.com/office/spreadsheetml/2009/9/main" uri="{725AE2AE-9491-48be-B2B4-4EB974FC3084}">
      <x14:pivotCacheDefinition pivotCacheId="14279970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 " refreshedDate="45994.603793865739" createdVersion="8" refreshedVersion="8" minRefreshableVersion="3" recordCount="180" xr:uid="{F1046BDB-E28E-4BA0-B718-D51B881DAE88}">
  <cacheSource type="worksheet">
    <worksheetSource ref="A1:R181" sheet="Data"/>
  </cacheSource>
  <cacheFields count="22">
    <cacheField name="Date" numFmtId="164">
      <sharedItems containsSemiMixedTypes="0" containsNonDate="0" containsDate="1" containsString="0" minDate="2025-01-01T00:00:00" maxDate="2025-06-30T00:00:00" count="18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sharedItems>
      <fieldGroup par="20"/>
    </cacheField>
    <cacheField name="Month" numFmtId="164">
      <sharedItems/>
    </cacheField>
    <cacheField name="Week_Num" numFmtId="0">
      <sharedItems containsSemiMixedTypes="0" containsString="0" containsNumber="1" containsInteger="1" minValue="1" maxValue="26"/>
    </cacheField>
    <cacheField name="Day" numFmtId="49">
      <sharedItems/>
    </cacheField>
    <cacheField name="Study_Hours" numFmtId="2">
      <sharedItems containsSemiMixedTypes="0" containsString="0" containsNumber="1" minValue="1.02" maxValue="5.97"/>
    </cacheField>
    <cacheField name="Sleep_Hours" numFmtId="2">
      <sharedItems containsSemiMixedTypes="0" containsString="0" containsNumber="1" minValue="5.1100000000000003" maxValue="8.9700000000000006"/>
    </cacheField>
    <cacheField name="Exercise_Hours" numFmtId="2">
      <sharedItems containsSemiMixedTypes="0" containsString="0" containsNumber="1" minValue="0.02" maxValue="2"/>
    </cacheField>
    <cacheField name="Mobile_Hours" numFmtId="2">
      <sharedItems containsSemiMixedTypes="0" containsString="0" containsNumber="1" minValue="1.03" maxValue="4.99"/>
    </cacheField>
    <cacheField name="Gaming_Hours" numFmtId="2">
      <sharedItems containsSemiMixedTypes="0" containsString="0" containsNumber="1" minValue="0.01" maxValue="2.99"/>
    </cacheField>
    <cacheField name="TV_Hours" numFmtId="2">
      <sharedItems containsSemiMixedTypes="0" containsString="0" containsNumber="1" minValue="0.03" maxValue="2"/>
    </cacheField>
    <cacheField name="Reading_Hours" numFmtId="2">
      <sharedItems containsSemiMixedTypes="0" containsString="0" containsNumber="1" minValue="0.01" maxValue="2"/>
    </cacheField>
    <cacheField name="Mood_Score" numFmtId="1">
      <sharedItems containsSemiMixedTypes="0" containsString="0" containsNumber="1" containsInteger="1" minValue="1" maxValue="10"/>
    </cacheField>
    <cacheField name="Planned Hours " numFmtId="1">
      <sharedItems containsSemiMixedTypes="0" containsString="0" containsNumber="1" containsInteger="1" minValue="5" maxValue="7"/>
    </cacheField>
    <cacheField name="Goal_Achievement" numFmtId="10">
      <sharedItems containsSemiMixedTypes="0" containsString="0" containsNumber="1" minValue="0.22142857142857145" maxValue="1"/>
    </cacheField>
    <cacheField name="Total_Productive_Hours" numFmtId="2">
      <sharedItems containsSemiMixedTypes="0" containsString="0" containsNumber="1" minValue="1.55" maxValue="9.2899999999999991"/>
    </cacheField>
    <cacheField name="Unproductive_Hours" numFmtId="2">
      <sharedItems containsSemiMixedTypes="0" containsString="0" containsNumber="1" minValue="2.2199999999999998" maxValue="8.870000000000001"/>
    </cacheField>
    <cacheField name="Focus_Score" numFmtId="2">
      <sharedItems containsSemiMixedTypes="0" containsString="0" containsNumber="1" minValue="1.637" maxValue="4.694"/>
    </cacheField>
    <cacheField name="Productivity_Index" numFmtId="10">
      <sharedItems containsSemiMixedTypes="0" containsString="0" containsNumber="1" minValue="0.21408839779005526" maxValue="0.75764192139737996"/>
    </cacheField>
    <cacheField name="prod_index" numFmtId="0">
      <sharedItems containsSemiMixedTypes="0" containsString="0" containsNumber="1" minValue="0.21408839779005526" maxValue="0.75764192139737996"/>
    </cacheField>
    <cacheField name="Days (Date)" numFmtId="0" databaseField="0">
      <fieldGroup base="0">
        <rangePr groupBy="days" startDate="2025-01-01T00:00:00" endDate="2025-06-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5"/>
        </groupItems>
      </fieldGroup>
    </cacheField>
    <cacheField name="Months (Date)" numFmtId="0" databaseField="0">
      <fieldGroup base="0">
        <rangePr groupBy="months" startDate="2025-01-01T00:00:00" endDate="2025-06-30T00:00:00"/>
        <groupItems count="14">
          <s v="&lt;01-01-2025"/>
          <s v="Jan"/>
          <s v="Feb"/>
          <s v="Mar"/>
          <s v="Apr"/>
          <s v="May"/>
          <s v="Jun"/>
          <s v="Jul"/>
          <s v="Aug"/>
          <s v="Sep"/>
          <s v="Oct"/>
          <s v="Nov"/>
          <s v="Dec"/>
          <s v="&gt;30-06-2025"/>
        </groupItems>
      </fieldGroup>
    </cacheField>
    <cacheField name="Productivity" numFmtId="0" formula="Total_Productive_Hours/(Total_Productive_Hours+Unproductive_Hours)"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 " refreshedDate="45995.818084375001" createdVersion="8" refreshedVersion="8" minRefreshableVersion="3" recordCount="900" xr:uid="{89FFF2EC-29F7-4FDE-AA34-7023F6716D7B}">
  <cacheSource type="worksheet">
    <worksheetSource name="Table3__2"/>
  </cacheSource>
  <cacheFields count="15">
    <cacheField name="Date" numFmtId="22">
      <sharedItems containsSemiMixedTypes="0" containsNonDate="0" containsDate="1" containsString="0" minDate="2025-01-01T00:00:00" maxDate="2025-06-30T00:00:00"/>
    </cacheField>
    <cacheField name="Month" numFmtId="0">
      <sharedItems/>
    </cacheField>
    <cacheField name="Week_Num" numFmtId="0">
      <sharedItems containsSemiMixedTypes="0" containsString="0" containsNumber="1" containsInteger="1" minValue="1" maxValue="26"/>
    </cacheField>
    <cacheField name="Day" numFmtId="0">
      <sharedItems count="7">
        <s v="Wednesday"/>
        <s v="Thursday"/>
        <s v="Friday"/>
        <s v="Saturday"/>
        <s v="Sunday"/>
        <s v="Monday"/>
        <s v="Tuesday"/>
      </sharedItems>
    </cacheField>
    <cacheField name="TV_Hours" numFmtId="0">
      <sharedItems containsSemiMixedTypes="0" containsString="0" containsNumber="1" minValue="0.03" maxValue="2"/>
    </cacheField>
    <cacheField name="Reading_Hours" numFmtId="0">
      <sharedItems containsSemiMixedTypes="0" containsString="0" containsNumber="1" minValue="0.01" maxValue="2"/>
    </cacheField>
    <cacheField name="Mood_Score" numFmtId="0">
      <sharedItems containsSemiMixedTypes="0" containsString="0" containsNumber="1" containsInteger="1" minValue="1" maxValue="10"/>
    </cacheField>
    <cacheField name="Planned Hours " numFmtId="0">
      <sharedItems containsSemiMixedTypes="0" containsString="0" containsNumber="1" containsInteger="1" minValue="5" maxValue="7"/>
    </cacheField>
    <cacheField name="Goal_Achievement" numFmtId="0">
      <sharedItems containsSemiMixedTypes="0" containsString="0" containsNumber="1" minValue="0.22142857142857145" maxValue="1"/>
    </cacheField>
    <cacheField name="Total_Productive_Hours" numFmtId="0">
      <sharedItems containsSemiMixedTypes="0" containsString="0" containsNumber="1" minValue="1.55" maxValue="9.2899999999999991"/>
    </cacheField>
    <cacheField name="Unproductive_Hours" numFmtId="0">
      <sharedItems containsSemiMixedTypes="0" containsString="0" containsNumber="1" minValue="2.2199999999999998" maxValue="8.870000000000001"/>
    </cacheField>
    <cacheField name="Focus_Score" numFmtId="0">
      <sharedItems containsSemiMixedTypes="0" containsString="0" containsNumber="1" minValue="1.637" maxValue="4.694"/>
    </cacheField>
    <cacheField name="Productivity_Index" numFmtId="0">
      <sharedItems containsSemiMixedTypes="0" containsString="0" containsNumber="1" minValue="0.21408839779005526" maxValue="0.75764192139737996"/>
    </cacheField>
    <cacheField name="Activity" numFmtId="0">
      <sharedItems count="5">
        <s v="Study_Hours"/>
        <s v="Sleep_Hours"/>
        <s v="Exercise_Hours"/>
        <s v="Mobile_Hours"/>
        <s v="Gaming_Hours"/>
      </sharedItems>
    </cacheField>
    <cacheField name="Hours" numFmtId="0">
      <sharedItems containsSemiMixedTypes="0" containsString="0" containsNumber="1" minValue="0.01" maxValue="8.9700000000000006"/>
    </cacheField>
  </cacheFields>
  <extLst>
    <ext xmlns:x14="http://schemas.microsoft.com/office/spreadsheetml/2009/9/main" uri="{725AE2AE-9491-48be-B2B4-4EB974FC3084}">
      <x14:pivotCacheDefinition pivotCacheId="1029088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x v="0"/>
    <x v="0"/>
    <x v="0"/>
    <x v="0"/>
    <x v="0"/>
    <x v="0"/>
    <n v="1.44"/>
    <n v="4.3600000000000003"/>
    <n v="0.36"/>
    <n v="0.67"/>
    <n v="0.3"/>
    <n v="9"/>
    <n v="7"/>
    <n v="0.64142857142857146"/>
    <n v="4.49"/>
    <n v="5.3900000000000006"/>
    <n v="2.7459999999999996"/>
    <n v="0.45445344129554655"/>
  </r>
  <r>
    <x v="1"/>
    <x v="0"/>
    <x v="0"/>
    <x v="1"/>
    <x v="1"/>
    <x v="1"/>
    <n v="1.18"/>
    <n v="3.1"/>
    <n v="1.1599999999999999"/>
    <n v="1.88"/>
    <n v="1.63"/>
    <n v="6"/>
    <n v="7"/>
    <n v="0.66857142857142848"/>
    <n v="4.68"/>
    <n v="6.14"/>
    <n v="2.6129999999999995"/>
    <n v="0.43253234750462105"/>
  </r>
  <r>
    <x v="2"/>
    <x v="0"/>
    <x v="0"/>
    <x v="2"/>
    <x v="2"/>
    <x v="2"/>
    <n v="0.54"/>
    <n v="4.99"/>
    <n v="0.51"/>
    <n v="0.48"/>
    <n v="1.1599999999999999"/>
    <n v="7"/>
    <n v="7"/>
    <n v="0.94714285714285718"/>
    <n v="6.63"/>
    <n v="5.98"/>
    <n v="3.6809999999999992"/>
    <n v="0.52577319587628868"/>
  </r>
  <r>
    <x v="3"/>
    <x v="0"/>
    <x v="0"/>
    <x v="3"/>
    <x v="3"/>
    <x v="3"/>
    <n v="1.97"/>
    <n v="4.71"/>
    <n v="0.28000000000000003"/>
    <n v="1.52"/>
    <n v="0.41"/>
    <n v="6"/>
    <n v="5"/>
    <n v="1"/>
    <n v="8.34"/>
    <n v="6.51"/>
    <n v="4.6399999999999997"/>
    <n v="0.56161616161616157"/>
  </r>
  <r>
    <x v="4"/>
    <x v="0"/>
    <x v="0"/>
    <x v="4"/>
    <x v="4"/>
    <x v="4"/>
    <n v="0.52"/>
    <n v="2.42"/>
    <n v="0.05"/>
    <n v="1.65"/>
    <n v="1.18"/>
    <n v="10"/>
    <n v="5"/>
    <n v="1"/>
    <n v="5.6999999999999993"/>
    <n v="4.1199999999999992"/>
    <n v="3.6260000000000003"/>
    <n v="0.58044806517311609"/>
  </r>
  <r>
    <x v="5"/>
    <x v="0"/>
    <x v="1"/>
    <x v="5"/>
    <x v="5"/>
    <x v="5"/>
    <n v="1.02"/>
    <n v="3.46"/>
    <n v="1.79"/>
    <n v="0.44"/>
    <n v="0.37"/>
    <n v="6"/>
    <n v="7"/>
    <n v="0.39285714285714285"/>
    <n v="2.75"/>
    <n v="5.69"/>
    <n v="2.6829999999999998"/>
    <n v="0.32582938388625587"/>
  </r>
  <r>
    <x v="6"/>
    <x v="0"/>
    <x v="1"/>
    <x v="6"/>
    <x v="6"/>
    <x v="6"/>
    <n v="1.22"/>
    <n v="1.05"/>
    <n v="1.5"/>
    <n v="0.75"/>
    <n v="0.44"/>
    <n v="3"/>
    <n v="7"/>
    <n v="0.85428571428571431"/>
    <n v="5.98"/>
    <n v="3.3"/>
    <n v="4.093"/>
    <n v="0.6443965517241379"/>
  </r>
  <r>
    <x v="7"/>
    <x v="0"/>
    <x v="1"/>
    <x v="0"/>
    <x v="7"/>
    <x v="7"/>
    <n v="1.76"/>
    <n v="3.78"/>
    <n v="7.0000000000000007E-2"/>
    <n v="1.86"/>
    <n v="0.75"/>
    <n v="1"/>
    <n v="7"/>
    <n v="0.71"/>
    <n v="4.97"/>
    <n v="5.71"/>
    <n v="3.5549999999999997"/>
    <n v="0.46535580524344566"/>
  </r>
  <r>
    <x v="8"/>
    <x v="0"/>
    <x v="1"/>
    <x v="1"/>
    <x v="8"/>
    <x v="8"/>
    <n v="0.06"/>
    <n v="2.92"/>
    <n v="0.95"/>
    <n v="1.82"/>
    <n v="0.06"/>
    <n v="5"/>
    <n v="7"/>
    <n v="0.22142857142857145"/>
    <n v="1.55"/>
    <n v="5.69"/>
    <n v="2.7440000000000002"/>
    <n v="0.21408839779005526"/>
  </r>
  <r>
    <x v="9"/>
    <x v="0"/>
    <x v="1"/>
    <x v="2"/>
    <x v="9"/>
    <x v="9"/>
    <n v="0.09"/>
    <n v="1.52"/>
    <n v="2.2200000000000002"/>
    <n v="0.6"/>
    <n v="0.94"/>
    <n v="9"/>
    <n v="7"/>
    <n v="0.96285714285714286"/>
    <n v="6.74"/>
    <n v="4.34"/>
    <n v="3.548"/>
    <n v="0.60830324909747291"/>
  </r>
  <r>
    <x v="10"/>
    <x v="0"/>
    <x v="1"/>
    <x v="3"/>
    <x v="10"/>
    <x v="10"/>
    <n v="1.89"/>
    <n v="1.24"/>
    <n v="2.7"/>
    <n v="1.02"/>
    <n v="1.46"/>
    <n v="4"/>
    <n v="5"/>
    <n v="1"/>
    <n v="6.0799999999999992"/>
    <n v="4.9600000000000009"/>
    <n v="2.99"/>
    <n v="0.55072463768115942"/>
  </r>
  <r>
    <x v="11"/>
    <x v="0"/>
    <x v="1"/>
    <x v="4"/>
    <x v="11"/>
    <x v="11"/>
    <n v="0.99"/>
    <n v="1.32"/>
    <n v="0.87"/>
    <n v="0.5"/>
    <n v="0.14000000000000001"/>
    <n v="3"/>
    <n v="5"/>
    <n v="1"/>
    <n v="6.08"/>
    <n v="2.69"/>
    <n v="3.4980000000000002"/>
    <n v="0.69327251995438999"/>
  </r>
  <r>
    <x v="12"/>
    <x v="0"/>
    <x v="2"/>
    <x v="5"/>
    <x v="12"/>
    <x v="12"/>
    <n v="1.03"/>
    <n v="1.85"/>
    <n v="0.24"/>
    <n v="0.13"/>
    <n v="1.55"/>
    <n v="8"/>
    <n v="7"/>
    <n v="0.99142857142857144"/>
    <n v="6.94"/>
    <n v="2.2199999999999998"/>
    <n v="4.120000000000001"/>
    <n v="0.75764192139737996"/>
  </r>
  <r>
    <x v="13"/>
    <x v="0"/>
    <x v="2"/>
    <x v="6"/>
    <x v="13"/>
    <x v="13"/>
    <n v="1.25"/>
    <n v="4.3600000000000003"/>
    <n v="2.5"/>
    <n v="1.46"/>
    <n v="1.53"/>
    <n v="6"/>
    <n v="7"/>
    <n v="0.64142857142857146"/>
    <n v="4.49"/>
    <n v="8.32"/>
    <n v="2.0870000000000002"/>
    <n v="0.35050741608118657"/>
  </r>
  <r>
    <x v="14"/>
    <x v="0"/>
    <x v="2"/>
    <x v="0"/>
    <x v="14"/>
    <x v="14"/>
    <n v="1.45"/>
    <n v="4.72"/>
    <n v="1.68"/>
    <n v="1.33"/>
    <n v="0.11"/>
    <n v="1"/>
    <n v="7"/>
    <n v="0.48142857142857143"/>
    <n v="3.37"/>
    <n v="7.7299999999999995"/>
    <n v="2.9420000000000002"/>
    <n v="0.30360360360360361"/>
  </r>
  <r>
    <x v="15"/>
    <x v="0"/>
    <x v="2"/>
    <x v="1"/>
    <x v="15"/>
    <x v="15"/>
    <n v="1.52"/>
    <n v="3.28"/>
    <n v="2.58"/>
    <n v="1.73"/>
    <n v="1.31"/>
    <n v="5"/>
    <n v="7"/>
    <n v="0.92428571428571438"/>
    <n v="6.4700000000000006"/>
    <n v="7.59"/>
    <n v="2.9710000000000001"/>
    <n v="0.46017069701280233"/>
  </r>
  <r>
    <x v="16"/>
    <x v="0"/>
    <x v="2"/>
    <x v="2"/>
    <x v="16"/>
    <x v="16"/>
    <n v="1.17"/>
    <n v="4.99"/>
    <n v="2.61"/>
    <n v="7.0000000000000007E-2"/>
    <n v="0.08"/>
    <n v="2"/>
    <n v="7"/>
    <n v="0.50428571428571423"/>
    <n v="3.53"/>
    <n v="7.67"/>
    <n v="2.0720000000000001"/>
    <n v="0.31517857142857142"/>
  </r>
  <r>
    <x v="17"/>
    <x v="0"/>
    <x v="2"/>
    <x v="3"/>
    <x v="17"/>
    <x v="17"/>
    <n v="1.2"/>
    <n v="3.49"/>
    <n v="0.83"/>
    <n v="1.97"/>
    <n v="0.87"/>
    <n v="7"/>
    <n v="5"/>
    <n v="0.81400000000000006"/>
    <n v="4.07"/>
    <n v="6.29"/>
    <n v="2.339"/>
    <n v="0.3928571428571429"/>
  </r>
  <r>
    <x v="18"/>
    <x v="0"/>
    <x v="2"/>
    <x v="4"/>
    <x v="18"/>
    <x v="18"/>
    <n v="1"/>
    <n v="4.57"/>
    <n v="1.95"/>
    <n v="0.33"/>
    <n v="1.88"/>
    <n v="1"/>
    <n v="5"/>
    <n v="1"/>
    <n v="7.1"/>
    <n v="6.8500000000000005"/>
    <n v="3.4349999999999996"/>
    <n v="0.50896057347670254"/>
  </r>
  <r>
    <x v="19"/>
    <x v="0"/>
    <x v="3"/>
    <x v="5"/>
    <x v="19"/>
    <x v="19"/>
    <n v="0.25"/>
    <n v="3.64"/>
    <n v="1.45"/>
    <n v="1.29"/>
    <n v="0.8"/>
    <n v="9"/>
    <n v="7"/>
    <n v="0.42428571428571427"/>
    <n v="2.9699999999999998"/>
    <n v="6.38"/>
    <n v="2.8589999999999995"/>
    <n v="0.31764705882352939"/>
  </r>
  <r>
    <x v="20"/>
    <x v="0"/>
    <x v="3"/>
    <x v="6"/>
    <x v="20"/>
    <x v="20"/>
    <n v="1.1100000000000001"/>
    <n v="3.85"/>
    <n v="2.61"/>
    <n v="0.49"/>
    <n v="0.28000000000000003"/>
    <n v="2"/>
    <n v="7"/>
    <n v="0.75428571428571434"/>
    <n v="5.28"/>
    <n v="6.95"/>
    <n v="2.899"/>
    <n v="0.43172526573998365"/>
  </r>
  <r>
    <x v="21"/>
    <x v="0"/>
    <x v="3"/>
    <x v="0"/>
    <x v="21"/>
    <x v="21"/>
    <n v="1.89"/>
    <n v="3.06"/>
    <n v="2.5299999999999998"/>
    <n v="0.71"/>
    <n v="1.77"/>
    <n v="8"/>
    <n v="7"/>
    <n v="1"/>
    <n v="8.2900000000000009"/>
    <n v="6.3"/>
    <n v="3.7590000000000003"/>
    <n v="0.56819739547635373"/>
  </r>
  <r>
    <x v="22"/>
    <x v="0"/>
    <x v="3"/>
    <x v="1"/>
    <x v="22"/>
    <x v="22"/>
    <n v="1.1499999999999999"/>
    <n v="3.37"/>
    <n v="0.89"/>
    <n v="0.37"/>
    <n v="1.36"/>
    <n v="7"/>
    <n v="7"/>
    <n v="1"/>
    <n v="7.43"/>
    <n v="4.63"/>
    <n v="4.391"/>
    <n v="0.61608623548922059"/>
  </r>
  <r>
    <x v="23"/>
    <x v="0"/>
    <x v="3"/>
    <x v="2"/>
    <x v="23"/>
    <x v="23"/>
    <n v="1.66"/>
    <n v="3.31"/>
    <n v="2.2799999999999998"/>
    <n v="0.68"/>
    <n v="1.87"/>
    <n v="1"/>
    <n v="7"/>
    <n v="0.79285714285714282"/>
    <n v="5.55"/>
    <n v="6.27"/>
    <n v="2.63"/>
    <n v="0.46954314720812179"/>
  </r>
  <r>
    <x v="24"/>
    <x v="0"/>
    <x v="3"/>
    <x v="3"/>
    <x v="24"/>
    <x v="24"/>
    <n v="0.02"/>
    <n v="1.43"/>
    <n v="1.29"/>
    <n v="1.5"/>
    <n v="0.92"/>
    <n v="8"/>
    <n v="5"/>
    <n v="0.98999999999999988"/>
    <n v="4.9499999999999993"/>
    <n v="4.22"/>
    <n v="3.181"/>
    <n v="0.53980370774263908"/>
  </r>
  <r>
    <x v="25"/>
    <x v="0"/>
    <x v="3"/>
    <x v="4"/>
    <x v="25"/>
    <x v="25"/>
    <n v="1.1399999999999999"/>
    <n v="3.9"/>
    <n v="0.54"/>
    <n v="0.11"/>
    <n v="1.91"/>
    <n v="2"/>
    <n v="5"/>
    <n v="1"/>
    <n v="5.63"/>
    <n v="4.55"/>
    <n v="3.2910000000000004"/>
    <n v="0.55304518664047153"/>
  </r>
  <r>
    <x v="26"/>
    <x v="0"/>
    <x v="4"/>
    <x v="5"/>
    <x v="26"/>
    <x v="26"/>
    <n v="0.09"/>
    <n v="3.97"/>
    <n v="1.7"/>
    <n v="0.79"/>
    <n v="1.77"/>
    <n v="4"/>
    <n v="7"/>
    <n v="1"/>
    <n v="7.8100000000000005"/>
    <n v="6.46"/>
    <n v="3.4750000000000005"/>
    <n v="0.54730203223545904"/>
  </r>
  <r>
    <x v="27"/>
    <x v="0"/>
    <x v="4"/>
    <x v="6"/>
    <x v="27"/>
    <x v="27"/>
    <n v="0.12"/>
    <n v="2.54"/>
    <n v="2.79"/>
    <n v="1.68"/>
    <n v="0.11"/>
    <n v="8"/>
    <n v="7"/>
    <n v="0.48"/>
    <n v="3.36"/>
    <n v="7.01"/>
    <n v="3.35"/>
    <n v="0.32401157184185153"/>
  </r>
  <r>
    <x v="28"/>
    <x v="0"/>
    <x v="4"/>
    <x v="0"/>
    <x v="28"/>
    <x v="28"/>
    <n v="1.1299999999999999"/>
    <n v="4.37"/>
    <n v="2.86"/>
    <n v="0.03"/>
    <n v="1.58"/>
    <n v="10"/>
    <n v="7"/>
    <n v="1"/>
    <n v="7.79"/>
    <n v="7.2600000000000007"/>
    <n v="4.0609999999999999"/>
    <n v="0.51760797342192688"/>
  </r>
  <r>
    <x v="29"/>
    <x v="0"/>
    <x v="4"/>
    <x v="1"/>
    <x v="29"/>
    <x v="29"/>
    <n v="1.34"/>
    <n v="4.71"/>
    <n v="1.59"/>
    <n v="0.42"/>
    <n v="1.08"/>
    <n v="8"/>
    <n v="7"/>
    <n v="0.51714285714285713"/>
    <n v="3.62"/>
    <n v="6.72"/>
    <n v="1.8520000000000001"/>
    <n v="0.3500967117988395"/>
  </r>
  <r>
    <x v="30"/>
    <x v="0"/>
    <x v="4"/>
    <x v="2"/>
    <x v="30"/>
    <x v="30"/>
    <n v="0.87"/>
    <n v="3.92"/>
    <n v="2.81"/>
    <n v="7.0000000000000007E-2"/>
    <n v="0.66"/>
    <n v="5"/>
    <n v="7"/>
    <n v="0.83285714285714285"/>
    <n v="5.83"/>
    <n v="6.8000000000000007"/>
    <n v="3.0989999999999998"/>
    <n v="0.46159936658749007"/>
  </r>
  <r>
    <x v="31"/>
    <x v="1"/>
    <x v="4"/>
    <x v="3"/>
    <x v="31"/>
    <x v="25"/>
    <n v="0.7"/>
    <n v="2.2999999999999998"/>
    <n v="2.76"/>
    <n v="1.6"/>
    <n v="1.71"/>
    <n v="8"/>
    <n v="5"/>
    <n v="1"/>
    <n v="7.0200000000000005"/>
    <n v="6.66"/>
    <n v="3.9530000000000003"/>
    <n v="0.51315789473684215"/>
  </r>
  <r>
    <x v="32"/>
    <x v="1"/>
    <x v="4"/>
    <x v="4"/>
    <x v="32"/>
    <x v="31"/>
    <n v="1.82"/>
    <n v="1.93"/>
    <n v="0.21"/>
    <n v="1.95"/>
    <n v="0.69"/>
    <n v="5"/>
    <n v="5"/>
    <n v="1"/>
    <n v="6.36"/>
    <n v="4.09"/>
    <n v="3.8439999999999999"/>
    <n v="0.6086124401913876"/>
  </r>
  <r>
    <x v="33"/>
    <x v="1"/>
    <x v="5"/>
    <x v="5"/>
    <x v="33"/>
    <x v="32"/>
    <n v="1.71"/>
    <n v="3.32"/>
    <n v="2.37"/>
    <n v="0.25"/>
    <n v="0.92"/>
    <n v="1"/>
    <n v="7"/>
    <n v="1"/>
    <n v="8.43"/>
    <n v="5.9399999999999995"/>
    <n v="4.1869999999999994"/>
    <n v="0.58663883089770352"/>
  </r>
  <r>
    <x v="34"/>
    <x v="1"/>
    <x v="5"/>
    <x v="6"/>
    <x v="34"/>
    <x v="14"/>
    <n v="1.96"/>
    <n v="4.37"/>
    <n v="1.38"/>
    <n v="0.86"/>
    <n v="0.16"/>
    <n v="10"/>
    <n v="7"/>
    <n v="0.90428571428571425"/>
    <n v="6.33"/>
    <n v="6.61"/>
    <n v="4.0690000000000008"/>
    <n v="0.48918083462132916"/>
  </r>
  <r>
    <x v="35"/>
    <x v="1"/>
    <x v="5"/>
    <x v="0"/>
    <x v="35"/>
    <x v="13"/>
    <n v="1.72"/>
    <n v="4.2699999999999996"/>
    <n v="1.25"/>
    <n v="0.81"/>
    <n v="1.34"/>
    <n v="8"/>
    <n v="7"/>
    <n v="0.86571428571428566"/>
    <n v="6.06"/>
    <n v="6.33"/>
    <n v="2.831"/>
    <n v="0.48910411622276023"/>
  </r>
  <r>
    <x v="36"/>
    <x v="1"/>
    <x v="5"/>
    <x v="1"/>
    <x v="36"/>
    <x v="33"/>
    <n v="1.92"/>
    <n v="1.89"/>
    <n v="1.1599999999999999"/>
    <n v="0.47"/>
    <n v="0.83"/>
    <n v="3"/>
    <n v="7"/>
    <n v="0.79428571428571437"/>
    <n v="5.5600000000000005"/>
    <n v="3.5199999999999996"/>
    <n v="3.6149999999999993"/>
    <n v="0.61233480176211463"/>
  </r>
  <r>
    <x v="37"/>
    <x v="1"/>
    <x v="5"/>
    <x v="2"/>
    <x v="37"/>
    <x v="34"/>
    <n v="1.06"/>
    <n v="1.9"/>
    <n v="0.36"/>
    <n v="0.35"/>
    <n v="1.42"/>
    <n v="3"/>
    <n v="7"/>
    <n v="0.92285714285714293"/>
    <n v="6.4600000000000009"/>
    <n v="2.61"/>
    <n v="3.669"/>
    <n v="0.71223814773980165"/>
  </r>
  <r>
    <x v="38"/>
    <x v="1"/>
    <x v="5"/>
    <x v="3"/>
    <x v="38"/>
    <x v="35"/>
    <n v="0.38"/>
    <n v="4.2300000000000004"/>
    <n v="1.58"/>
    <n v="0.64"/>
    <n v="0.26"/>
    <n v="2"/>
    <n v="5"/>
    <n v="0.77200000000000002"/>
    <n v="3.8600000000000003"/>
    <n v="6.45"/>
    <n v="2.3850000000000002"/>
    <n v="0.37439379243452958"/>
  </r>
  <r>
    <x v="39"/>
    <x v="1"/>
    <x v="5"/>
    <x v="4"/>
    <x v="39"/>
    <x v="36"/>
    <n v="0.51"/>
    <n v="2.31"/>
    <n v="2.11"/>
    <n v="0.49"/>
    <n v="1.19"/>
    <n v="6"/>
    <n v="5"/>
    <n v="1"/>
    <n v="7.3900000000000006"/>
    <n v="4.91"/>
    <n v="4.2759999999999998"/>
    <n v="0.60081300813008132"/>
  </r>
  <r>
    <x v="40"/>
    <x v="1"/>
    <x v="6"/>
    <x v="5"/>
    <x v="40"/>
    <x v="37"/>
    <n v="1.94"/>
    <n v="4.7699999999999996"/>
    <n v="1.44"/>
    <n v="0.89"/>
    <n v="0.45"/>
    <n v="4"/>
    <n v="7"/>
    <n v="0.8214285714285714"/>
    <n v="5.75"/>
    <n v="7.0999999999999988"/>
    <n v="2.7849999999999997"/>
    <n v="0.44747081712062264"/>
  </r>
  <r>
    <x v="41"/>
    <x v="1"/>
    <x v="6"/>
    <x v="6"/>
    <x v="41"/>
    <x v="38"/>
    <n v="1.96"/>
    <n v="3.32"/>
    <n v="2.39"/>
    <n v="0.08"/>
    <n v="0.78"/>
    <n v="4"/>
    <n v="7"/>
    <n v="0.91714285714285715"/>
    <n v="6.42"/>
    <n v="5.79"/>
    <n v="3.3239999999999998"/>
    <n v="0.52579852579852571"/>
  </r>
  <r>
    <x v="42"/>
    <x v="1"/>
    <x v="6"/>
    <x v="0"/>
    <x v="42"/>
    <x v="15"/>
    <n v="0.11"/>
    <n v="4.66"/>
    <n v="0.25"/>
    <n v="1.71"/>
    <n v="1.83"/>
    <n v="9"/>
    <n v="7"/>
    <n v="0.71714285714285719"/>
    <n v="5.0200000000000005"/>
    <n v="6.62"/>
    <n v="2.5599999999999996"/>
    <n v="0.43127147766323026"/>
  </r>
  <r>
    <x v="43"/>
    <x v="1"/>
    <x v="6"/>
    <x v="1"/>
    <x v="43"/>
    <x v="39"/>
    <n v="0.9"/>
    <n v="4.76"/>
    <n v="2.68"/>
    <n v="0.28999999999999998"/>
    <n v="1.18"/>
    <n v="1"/>
    <n v="7"/>
    <n v="0.94857142857142851"/>
    <n v="6.64"/>
    <n v="7.7299999999999995"/>
    <n v="3.1349999999999998"/>
    <n v="0.46207376478775225"/>
  </r>
  <r>
    <x v="44"/>
    <x v="1"/>
    <x v="6"/>
    <x v="2"/>
    <x v="44"/>
    <x v="40"/>
    <n v="0.59"/>
    <n v="4.68"/>
    <n v="1.75"/>
    <n v="0.92"/>
    <n v="1.35"/>
    <n v="5"/>
    <n v="7"/>
    <n v="0.89571428571428569"/>
    <n v="6.27"/>
    <n v="7.35"/>
    <n v="3.7600000000000007"/>
    <n v="0.46035242290748896"/>
  </r>
  <r>
    <x v="45"/>
    <x v="1"/>
    <x v="6"/>
    <x v="3"/>
    <x v="45"/>
    <x v="41"/>
    <n v="1.44"/>
    <n v="3.23"/>
    <n v="1.84"/>
    <n v="0.3"/>
    <n v="1.75"/>
    <n v="5"/>
    <n v="5"/>
    <n v="0.89400000000000013"/>
    <n v="4.4700000000000006"/>
    <n v="5.37"/>
    <n v="1.9969999999999999"/>
    <n v="0.4542682926829269"/>
  </r>
  <r>
    <x v="46"/>
    <x v="1"/>
    <x v="6"/>
    <x v="4"/>
    <x v="46"/>
    <x v="42"/>
    <n v="0.54"/>
    <n v="4.46"/>
    <n v="0.34"/>
    <n v="0.86"/>
    <n v="1.01"/>
    <n v="1"/>
    <n v="5"/>
    <n v="1"/>
    <n v="6.27"/>
    <n v="5.66"/>
    <n v="3.9489999999999994"/>
    <n v="0.52556580050293378"/>
  </r>
  <r>
    <x v="47"/>
    <x v="1"/>
    <x v="7"/>
    <x v="5"/>
    <x v="47"/>
    <x v="43"/>
    <n v="1.99"/>
    <n v="4.76"/>
    <n v="2.0299999999999998"/>
    <n v="1.29"/>
    <n v="0.98"/>
    <n v="5"/>
    <n v="7"/>
    <n v="1"/>
    <n v="7.9399999999999995"/>
    <n v="8.0799999999999983"/>
    <n v="3.2490000000000001"/>
    <n v="0.49563046192259685"/>
  </r>
  <r>
    <x v="48"/>
    <x v="1"/>
    <x v="7"/>
    <x v="6"/>
    <x v="48"/>
    <x v="44"/>
    <n v="1.06"/>
    <n v="2.69"/>
    <n v="0.65"/>
    <n v="1.85"/>
    <n v="1.61"/>
    <n v="3"/>
    <n v="7"/>
    <n v="0.5842857142857143"/>
    <n v="4.09"/>
    <n v="5.1899999999999995"/>
    <n v="1.9820000000000002"/>
    <n v="0.44073275862068967"/>
  </r>
  <r>
    <x v="49"/>
    <x v="1"/>
    <x v="7"/>
    <x v="0"/>
    <x v="49"/>
    <x v="45"/>
    <n v="1.92"/>
    <n v="1.46"/>
    <n v="0.27"/>
    <n v="0.61"/>
    <n v="0.41"/>
    <n v="7"/>
    <n v="7"/>
    <n v="0.64"/>
    <n v="4.4800000000000004"/>
    <n v="2.34"/>
    <n v="3.5729999999999995"/>
    <n v="0.6568914956011731"/>
  </r>
  <r>
    <x v="50"/>
    <x v="1"/>
    <x v="7"/>
    <x v="1"/>
    <x v="50"/>
    <x v="46"/>
    <n v="1.59"/>
    <n v="1.72"/>
    <n v="0.04"/>
    <n v="0.59"/>
    <n v="1.34"/>
    <n v="7"/>
    <n v="7"/>
    <n v="0.57571428571428573"/>
    <n v="4.03"/>
    <n v="2.35"/>
    <n v="2.2770000000000001"/>
    <n v="0.6316614420062695"/>
  </r>
  <r>
    <x v="51"/>
    <x v="1"/>
    <x v="7"/>
    <x v="2"/>
    <x v="51"/>
    <x v="47"/>
    <n v="1.01"/>
    <n v="3.95"/>
    <n v="0.9"/>
    <n v="0.5"/>
    <n v="1.76"/>
    <n v="8"/>
    <n v="7"/>
    <n v="0.88857142857142857"/>
    <n v="6.22"/>
    <n v="5.3500000000000005"/>
    <n v="2.6960000000000002"/>
    <n v="0.53759723422644767"/>
  </r>
  <r>
    <x v="52"/>
    <x v="1"/>
    <x v="7"/>
    <x v="3"/>
    <x v="52"/>
    <x v="48"/>
    <n v="1.05"/>
    <n v="3.27"/>
    <n v="2.2599999999999998"/>
    <n v="0.14000000000000001"/>
    <n v="1.17"/>
    <n v="2"/>
    <n v="5"/>
    <n v="0.88000000000000012"/>
    <n v="4.4000000000000004"/>
    <n v="5.669999999999999"/>
    <n v="2.7459999999999996"/>
    <n v="0.43694141012909637"/>
  </r>
  <r>
    <x v="53"/>
    <x v="1"/>
    <x v="7"/>
    <x v="4"/>
    <x v="53"/>
    <x v="9"/>
    <n v="0.88"/>
    <n v="4.54"/>
    <n v="0.13"/>
    <n v="1.84"/>
    <n v="1.58"/>
    <n v="7"/>
    <n v="5"/>
    <n v="0.99799999999999989"/>
    <n v="4.9899999999999993"/>
    <n v="6.51"/>
    <n v="2.3410000000000002"/>
    <n v="0.43391304347826082"/>
  </r>
  <r>
    <x v="54"/>
    <x v="1"/>
    <x v="8"/>
    <x v="5"/>
    <x v="54"/>
    <x v="42"/>
    <n v="1.73"/>
    <n v="2.34"/>
    <n v="1.59"/>
    <n v="0.61"/>
    <n v="0.2"/>
    <n v="3"/>
    <n v="7"/>
    <n v="0.74285714285714288"/>
    <n v="5.2"/>
    <n v="4.54"/>
    <n v="3.694"/>
    <n v="0.53388090349075978"/>
  </r>
  <r>
    <x v="55"/>
    <x v="1"/>
    <x v="8"/>
    <x v="6"/>
    <x v="55"/>
    <x v="49"/>
    <n v="1.4"/>
    <n v="1.65"/>
    <n v="0.04"/>
    <n v="0.62"/>
    <n v="0.95"/>
    <n v="8"/>
    <n v="7"/>
    <n v="0.68857142857142861"/>
    <n v="4.82"/>
    <n v="2.31"/>
    <n v="3.6999999999999997"/>
    <n v="0.67601683029453008"/>
  </r>
  <r>
    <x v="56"/>
    <x v="1"/>
    <x v="8"/>
    <x v="0"/>
    <x v="56"/>
    <x v="50"/>
    <n v="1.26"/>
    <n v="3.16"/>
    <n v="2.0299999999999998"/>
    <n v="0.59"/>
    <n v="1.2"/>
    <n v="5"/>
    <n v="7"/>
    <n v="0.9642857142857143"/>
    <n v="6.75"/>
    <n v="5.7799999999999994"/>
    <n v="3.4109999999999996"/>
    <n v="0.53870710295291302"/>
  </r>
  <r>
    <x v="57"/>
    <x v="1"/>
    <x v="8"/>
    <x v="1"/>
    <x v="57"/>
    <x v="51"/>
    <n v="1.33"/>
    <n v="2.4300000000000002"/>
    <n v="1.31"/>
    <n v="0.12"/>
    <n v="1.82"/>
    <n v="2"/>
    <n v="7"/>
    <n v="1"/>
    <n v="8.0500000000000007"/>
    <n v="3.8600000000000003"/>
    <n v="3.661"/>
    <n v="0.67590260285474402"/>
  </r>
  <r>
    <x v="58"/>
    <x v="1"/>
    <x v="8"/>
    <x v="2"/>
    <x v="8"/>
    <x v="52"/>
    <n v="0.25"/>
    <n v="1.76"/>
    <n v="2.0099999999999998"/>
    <n v="0.81"/>
    <n v="1.72"/>
    <n v="7"/>
    <n v="7"/>
    <n v="0.48571428571428571"/>
    <n v="3.4"/>
    <n v="4.58"/>
    <n v="2.0569999999999995"/>
    <n v="0.42606516290726815"/>
  </r>
  <r>
    <x v="59"/>
    <x v="2"/>
    <x v="8"/>
    <x v="3"/>
    <x v="58"/>
    <x v="53"/>
    <n v="0.13"/>
    <n v="3.12"/>
    <n v="1.83"/>
    <n v="1.41"/>
    <n v="1.74"/>
    <n v="3"/>
    <n v="5"/>
    <n v="1"/>
    <n v="7.62"/>
    <n v="6.36"/>
    <n v="3.8170000000000002"/>
    <n v="0.54506437768240346"/>
  </r>
  <r>
    <x v="60"/>
    <x v="2"/>
    <x v="8"/>
    <x v="4"/>
    <x v="59"/>
    <x v="54"/>
    <n v="1.38"/>
    <n v="4.3600000000000003"/>
    <n v="2.0699999999999998"/>
    <n v="1.1599999999999999"/>
    <n v="1.47"/>
    <n v="10"/>
    <n v="5"/>
    <n v="0.81600000000000006"/>
    <n v="4.08"/>
    <n v="7.59"/>
    <n v="2.6959999999999997"/>
    <n v="0.34961439588688947"/>
  </r>
  <r>
    <x v="61"/>
    <x v="2"/>
    <x v="9"/>
    <x v="5"/>
    <x v="41"/>
    <x v="55"/>
    <n v="0.05"/>
    <n v="1.04"/>
    <n v="0.42"/>
    <n v="1.41"/>
    <n v="1.62"/>
    <n v="9"/>
    <n v="7"/>
    <n v="0.76428571428571435"/>
    <n v="5.3500000000000005"/>
    <n v="2.87"/>
    <n v="2.8899999999999997"/>
    <n v="0.65085158150851585"/>
  </r>
  <r>
    <x v="62"/>
    <x v="2"/>
    <x v="9"/>
    <x v="6"/>
    <x v="60"/>
    <x v="56"/>
    <n v="1.19"/>
    <n v="3.72"/>
    <n v="2.2000000000000002"/>
    <n v="0.84"/>
    <n v="0.78"/>
    <n v="7"/>
    <n v="7"/>
    <n v="0.91857142857142848"/>
    <n v="6.43"/>
    <n v="6.76"/>
    <n v="3.0140000000000002"/>
    <n v="0.48749052312357849"/>
  </r>
  <r>
    <x v="63"/>
    <x v="2"/>
    <x v="9"/>
    <x v="0"/>
    <x v="61"/>
    <x v="57"/>
    <n v="0.64"/>
    <n v="3.52"/>
    <n v="0.25"/>
    <n v="1.69"/>
    <n v="0.4"/>
    <n v="9"/>
    <n v="7"/>
    <n v="0.84428571428571431"/>
    <n v="5.91"/>
    <n v="5.46"/>
    <n v="3.7719999999999998"/>
    <n v="0.51978891820580475"/>
  </r>
  <r>
    <x v="64"/>
    <x v="2"/>
    <x v="9"/>
    <x v="1"/>
    <x v="62"/>
    <x v="32"/>
    <n v="0.76"/>
    <n v="2.62"/>
    <n v="1.94"/>
    <n v="0.49"/>
    <n v="0.03"/>
    <n v="6"/>
    <n v="7"/>
    <n v="0.42285714285714288"/>
    <n v="2.96"/>
    <n v="5.0500000000000007"/>
    <n v="2.6579999999999999"/>
    <n v="0.36953807740324585"/>
  </r>
  <r>
    <x v="65"/>
    <x v="2"/>
    <x v="9"/>
    <x v="2"/>
    <x v="63"/>
    <x v="58"/>
    <n v="1.82"/>
    <n v="4.96"/>
    <n v="0.51"/>
    <n v="0.27"/>
    <n v="0.84"/>
    <n v="8"/>
    <n v="7"/>
    <n v="0.85571428571428576"/>
    <n v="5.99"/>
    <n v="5.74"/>
    <n v="2.7299999999999995"/>
    <n v="0.51065643648763859"/>
  </r>
  <r>
    <x v="66"/>
    <x v="2"/>
    <x v="9"/>
    <x v="3"/>
    <x v="64"/>
    <x v="58"/>
    <n v="1.26"/>
    <n v="3.19"/>
    <n v="2.09"/>
    <n v="0.23"/>
    <n v="1.51"/>
    <n v="5"/>
    <n v="5"/>
    <n v="1"/>
    <n v="5.0999999999999996"/>
    <n v="5.51"/>
    <n v="2.2369999999999997"/>
    <n v="0.48067860508953819"/>
  </r>
  <r>
    <x v="67"/>
    <x v="2"/>
    <x v="9"/>
    <x v="4"/>
    <x v="65"/>
    <x v="59"/>
    <n v="0.34"/>
    <n v="3.01"/>
    <n v="2.36"/>
    <n v="0.91"/>
    <n v="1.94"/>
    <n v="9"/>
    <n v="5"/>
    <n v="0.69799999999999995"/>
    <n v="3.4899999999999998"/>
    <n v="6.2799999999999994"/>
    <n v="2.2949999999999999"/>
    <n v="0.35721596724667348"/>
  </r>
  <r>
    <x v="68"/>
    <x v="2"/>
    <x v="10"/>
    <x v="5"/>
    <x v="0"/>
    <x v="60"/>
    <n v="0.15"/>
    <n v="4.33"/>
    <n v="0.32"/>
    <n v="1.24"/>
    <n v="0.03"/>
    <n v="8"/>
    <n v="7"/>
    <n v="0.41857142857142854"/>
    <n v="2.9299999999999997"/>
    <n v="5.8900000000000006"/>
    <n v="2.5819999999999999"/>
    <n v="0.33219954648526073"/>
  </r>
  <r>
    <x v="69"/>
    <x v="2"/>
    <x v="10"/>
    <x v="6"/>
    <x v="16"/>
    <x v="61"/>
    <n v="0.56999999999999995"/>
    <n v="1.67"/>
    <n v="1.62"/>
    <n v="1.21"/>
    <n v="0.31"/>
    <n v="5"/>
    <n v="7"/>
    <n v="0.4514285714285714"/>
    <n v="3.1599999999999997"/>
    <n v="4.5"/>
    <n v="3.3249999999999993"/>
    <n v="0.41253263707571797"/>
  </r>
  <r>
    <x v="70"/>
    <x v="2"/>
    <x v="10"/>
    <x v="0"/>
    <x v="66"/>
    <x v="37"/>
    <n v="0.88"/>
    <n v="4.2699999999999996"/>
    <n v="1.01"/>
    <n v="0.08"/>
    <n v="0.64"/>
    <n v="10"/>
    <n v="7"/>
    <n v="0.75857142857142856"/>
    <n v="5.31"/>
    <n v="5.3599999999999994"/>
    <n v="2.8380000000000001"/>
    <n v="0.4976569821930647"/>
  </r>
  <r>
    <x v="71"/>
    <x v="2"/>
    <x v="10"/>
    <x v="1"/>
    <x v="67"/>
    <x v="62"/>
    <n v="2"/>
    <n v="2.36"/>
    <n v="1.36"/>
    <n v="1.1399999999999999"/>
    <n v="0.59"/>
    <n v="8"/>
    <n v="7"/>
    <n v="0.70000000000000007"/>
    <n v="4.9000000000000004"/>
    <n v="4.8599999999999994"/>
    <n v="2.6440000000000001"/>
    <n v="0.50204918032786894"/>
  </r>
  <r>
    <x v="72"/>
    <x v="2"/>
    <x v="10"/>
    <x v="2"/>
    <x v="68"/>
    <x v="63"/>
    <n v="1.9"/>
    <n v="4.76"/>
    <n v="1.57"/>
    <n v="0.13"/>
    <n v="1.26"/>
    <n v="10"/>
    <n v="7"/>
    <n v="1"/>
    <n v="7.74"/>
    <n v="6.46"/>
    <n v="3.6189999999999998"/>
    <n v="0.54507042253521132"/>
  </r>
  <r>
    <x v="73"/>
    <x v="2"/>
    <x v="10"/>
    <x v="3"/>
    <x v="69"/>
    <x v="64"/>
    <n v="0.03"/>
    <n v="3.44"/>
    <n v="2.77"/>
    <n v="0.6"/>
    <n v="1.49"/>
    <n v="7"/>
    <n v="5"/>
    <n v="0.6319999999999999"/>
    <n v="3.1599999999999997"/>
    <n v="6.81"/>
    <n v="1.637"/>
    <n v="0.31695085255767302"/>
  </r>
  <r>
    <x v="74"/>
    <x v="2"/>
    <x v="10"/>
    <x v="4"/>
    <x v="70"/>
    <x v="65"/>
    <n v="1.94"/>
    <n v="2.4"/>
    <n v="2.5"/>
    <n v="0.4"/>
    <n v="0.45"/>
    <n v="1"/>
    <n v="5"/>
    <n v="0.78800000000000003"/>
    <n v="3.94"/>
    <n v="5.3000000000000007"/>
    <n v="2.3239999999999998"/>
    <n v="0.4264069264069264"/>
  </r>
  <r>
    <x v="75"/>
    <x v="2"/>
    <x v="11"/>
    <x v="5"/>
    <x v="71"/>
    <x v="66"/>
    <n v="1.64"/>
    <n v="3.58"/>
    <n v="2.0099999999999998"/>
    <n v="0.09"/>
    <n v="0.26"/>
    <n v="2"/>
    <n v="7"/>
    <n v="0.70142857142857129"/>
    <n v="4.9099999999999993"/>
    <n v="5.68"/>
    <n v="3.0549999999999993"/>
    <n v="0.46364494806421147"/>
  </r>
  <r>
    <x v="76"/>
    <x v="2"/>
    <x v="11"/>
    <x v="6"/>
    <x v="72"/>
    <x v="67"/>
    <n v="0.7"/>
    <n v="3.04"/>
    <n v="1.35"/>
    <n v="1.53"/>
    <n v="1.04"/>
    <n v="1"/>
    <n v="7"/>
    <n v="0.69000000000000006"/>
    <n v="4.83"/>
    <n v="5.9200000000000008"/>
    <n v="2.8000000000000003"/>
    <n v="0.44930232558139538"/>
  </r>
  <r>
    <x v="77"/>
    <x v="2"/>
    <x v="11"/>
    <x v="0"/>
    <x v="73"/>
    <x v="68"/>
    <n v="1.26"/>
    <n v="1.68"/>
    <n v="2.98"/>
    <n v="1.26"/>
    <n v="1.35"/>
    <n v="8"/>
    <n v="7"/>
    <n v="0.94857142857142862"/>
    <n v="6.6400000000000006"/>
    <n v="5.92"/>
    <n v="3.4409999999999998"/>
    <n v="0.5286624203821656"/>
  </r>
  <r>
    <x v="78"/>
    <x v="2"/>
    <x v="11"/>
    <x v="1"/>
    <x v="74"/>
    <x v="69"/>
    <n v="0.72"/>
    <n v="4.71"/>
    <n v="1.41"/>
    <n v="0.56000000000000005"/>
    <n v="0.65"/>
    <n v="2"/>
    <n v="7"/>
    <n v="0.74428571428571433"/>
    <n v="5.21"/>
    <n v="6.68"/>
    <n v="3.0960000000000001"/>
    <n v="0.43818334735071485"/>
  </r>
  <r>
    <x v="79"/>
    <x v="2"/>
    <x v="11"/>
    <x v="2"/>
    <x v="75"/>
    <x v="12"/>
    <n v="0.12"/>
    <n v="3.63"/>
    <n v="1.44"/>
    <n v="0.8"/>
    <n v="1.2"/>
    <n v="10"/>
    <n v="7"/>
    <n v="0.34142857142857147"/>
    <n v="2.39"/>
    <n v="5.87"/>
    <n v="2.3239999999999998"/>
    <n v="0.28934624697336564"/>
  </r>
  <r>
    <x v="80"/>
    <x v="2"/>
    <x v="11"/>
    <x v="3"/>
    <x v="76"/>
    <x v="3"/>
    <n v="0.88"/>
    <n v="1.33"/>
    <n v="2.73"/>
    <n v="1.04"/>
    <n v="0.18"/>
    <n v="4"/>
    <n v="5"/>
    <n v="0.93200000000000005"/>
    <n v="4.66"/>
    <n v="5.1000000000000005"/>
    <n v="3.5710000000000002"/>
    <n v="0.47745901639344257"/>
  </r>
  <r>
    <x v="81"/>
    <x v="2"/>
    <x v="11"/>
    <x v="4"/>
    <x v="77"/>
    <x v="70"/>
    <n v="0.13"/>
    <n v="2.06"/>
    <n v="1.27"/>
    <n v="1.78"/>
    <n v="0.7"/>
    <n v="9"/>
    <n v="5"/>
    <n v="0.88400000000000001"/>
    <n v="4.42"/>
    <n v="5.1100000000000003"/>
    <n v="2.7759999999999998"/>
    <n v="0.46379853095487927"/>
  </r>
  <r>
    <x v="82"/>
    <x v="2"/>
    <x v="12"/>
    <x v="5"/>
    <x v="78"/>
    <x v="71"/>
    <n v="0.2"/>
    <n v="2.3199999999999998"/>
    <n v="2.39"/>
    <n v="0.35"/>
    <n v="0.92"/>
    <n v="7"/>
    <n v="7"/>
    <n v="0.50571428571428567"/>
    <n v="3.54"/>
    <n v="5.0599999999999996"/>
    <n v="2.4419999999999997"/>
    <n v="0.41162790697674423"/>
  </r>
  <r>
    <x v="83"/>
    <x v="2"/>
    <x v="12"/>
    <x v="6"/>
    <x v="79"/>
    <x v="72"/>
    <n v="1.25"/>
    <n v="1.03"/>
    <n v="0.59"/>
    <n v="1.37"/>
    <n v="1.49"/>
    <n v="5"/>
    <n v="7"/>
    <n v="1"/>
    <n v="8.1900000000000013"/>
    <n v="2.99"/>
    <n v="3.9930000000000003"/>
    <n v="0.73255813953488369"/>
  </r>
  <r>
    <x v="84"/>
    <x v="2"/>
    <x v="12"/>
    <x v="0"/>
    <x v="27"/>
    <x v="73"/>
    <n v="1.55"/>
    <n v="1.88"/>
    <n v="2.2799999999999998"/>
    <n v="1.5"/>
    <n v="0.16"/>
    <n v="9"/>
    <n v="7"/>
    <n v="0.69142857142857139"/>
    <n v="4.84"/>
    <n v="5.66"/>
    <n v="3.4470000000000001"/>
    <n v="0.46095238095238095"/>
  </r>
  <r>
    <x v="85"/>
    <x v="2"/>
    <x v="12"/>
    <x v="1"/>
    <x v="41"/>
    <x v="74"/>
    <n v="1.65"/>
    <n v="2.74"/>
    <n v="0.4"/>
    <n v="1.08"/>
    <n v="1.01"/>
    <n v="10"/>
    <n v="7"/>
    <n v="0.90571428571428569"/>
    <n v="6.34"/>
    <n v="4.2200000000000006"/>
    <n v="3.4380000000000002"/>
    <n v="0.60037878787878785"/>
  </r>
  <r>
    <x v="86"/>
    <x v="2"/>
    <x v="12"/>
    <x v="2"/>
    <x v="80"/>
    <x v="75"/>
    <n v="1.1599999999999999"/>
    <n v="2.1800000000000002"/>
    <n v="2.44"/>
    <n v="0.69"/>
    <n v="0.47"/>
    <n v="10"/>
    <n v="7"/>
    <n v="0.92999999999999994"/>
    <n v="6.51"/>
    <n v="5.3100000000000005"/>
    <n v="4.194"/>
    <n v="0.55076142131979688"/>
  </r>
  <r>
    <x v="87"/>
    <x v="2"/>
    <x v="12"/>
    <x v="3"/>
    <x v="81"/>
    <x v="76"/>
    <n v="1.38"/>
    <n v="4.91"/>
    <n v="0.18"/>
    <n v="0.99"/>
    <n v="0.82"/>
    <n v="2"/>
    <n v="5"/>
    <n v="0.66399999999999992"/>
    <n v="3.32"/>
    <n v="6.08"/>
    <n v="2.8879999999999999"/>
    <n v="0.35319148936170208"/>
  </r>
  <r>
    <x v="88"/>
    <x v="2"/>
    <x v="12"/>
    <x v="4"/>
    <x v="82"/>
    <x v="77"/>
    <n v="0.5"/>
    <n v="4.84"/>
    <n v="1.51"/>
    <n v="0.85"/>
    <n v="0.27"/>
    <n v="8"/>
    <n v="5"/>
    <n v="1"/>
    <n v="6.6099999999999994"/>
    <n v="7.1999999999999993"/>
    <n v="3.4119999999999999"/>
    <n v="0.47863866763215063"/>
  </r>
  <r>
    <x v="89"/>
    <x v="2"/>
    <x v="13"/>
    <x v="5"/>
    <x v="83"/>
    <x v="78"/>
    <n v="1.21"/>
    <n v="2.12"/>
    <n v="0.91"/>
    <n v="0.5"/>
    <n v="0.88"/>
    <n v="7"/>
    <n v="7"/>
    <n v="0.65428571428571425"/>
    <n v="4.58"/>
    <n v="3.5300000000000002"/>
    <n v="3.0920000000000001"/>
    <n v="0.56473489519112208"/>
  </r>
  <r>
    <x v="90"/>
    <x v="3"/>
    <x v="13"/>
    <x v="6"/>
    <x v="84"/>
    <x v="79"/>
    <n v="1.27"/>
    <n v="1.43"/>
    <n v="1.84"/>
    <n v="0.19"/>
    <n v="0.15"/>
    <n v="10"/>
    <n v="7"/>
    <n v="0.48428571428571432"/>
    <n v="3.39"/>
    <n v="3.46"/>
    <n v="2.9410000000000003"/>
    <n v="0.49489051094890513"/>
  </r>
  <r>
    <x v="91"/>
    <x v="3"/>
    <x v="13"/>
    <x v="0"/>
    <x v="85"/>
    <x v="80"/>
    <n v="1.6"/>
    <n v="1.1100000000000001"/>
    <n v="2.96"/>
    <n v="0.34"/>
    <n v="1.84"/>
    <n v="3"/>
    <n v="7"/>
    <n v="0.90857142857142847"/>
    <n v="6.3599999999999994"/>
    <n v="4.41"/>
    <n v="3.2709999999999999"/>
    <n v="0.59052924791086348"/>
  </r>
  <r>
    <x v="92"/>
    <x v="3"/>
    <x v="13"/>
    <x v="1"/>
    <x v="86"/>
    <x v="81"/>
    <n v="1.57"/>
    <n v="1.22"/>
    <n v="0.42"/>
    <n v="0.67"/>
    <n v="1.83"/>
    <n v="9"/>
    <n v="7"/>
    <n v="0.86285714285714299"/>
    <n v="6.0400000000000009"/>
    <n v="2.31"/>
    <n v="3.4169999999999998"/>
    <n v="0.72335329341317367"/>
  </r>
  <r>
    <x v="93"/>
    <x v="3"/>
    <x v="13"/>
    <x v="2"/>
    <x v="87"/>
    <x v="82"/>
    <n v="2"/>
    <n v="2.1800000000000002"/>
    <n v="1.17"/>
    <n v="0.15"/>
    <n v="1.89"/>
    <n v="5"/>
    <n v="7"/>
    <n v="1"/>
    <n v="9.2899999999999991"/>
    <n v="3.5"/>
    <n v="3.9800000000000004"/>
    <n v="0.72634870992963252"/>
  </r>
  <r>
    <x v="94"/>
    <x v="3"/>
    <x v="13"/>
    <x v="3"/>
    <x v="88"/>
    <x v="83"/>
    <n v="1.93"/>
    <n v="2.4900000000000002"/>
    <n v="1.37"/>
    <n v="1.69"/>
    <n v="0.96"/>
    <n v="2"/>
    <n v="5"/>
    <n v="1"/>
    <n v="5.6499999999999995"/>
    <n v="5.5500000000000007"/>
    <n v="2.6909999999999998"/>
    <n v="0.5044642857142857"/>
  </r>
  <r>
    <x v="95"/>
    <x v="3"/>
    <x v="13"/>
    <x v="4"/>
    <x v="89"/>
    <x v="43"/>
    <n v="0.99"/>
    <n v="1.96"/>
    <n v="2.89"/>
    <n v="0.09"/>
    <n v="0.19"/>
    <n v="1"/>
    <n v="5"/>
    <n v="1"/>
    <n v="5.7700000000000005"/>
    <n v="4.9399999999999995"/>
    <n v="3.0910000000000002"/>
    <n v="0.5387488328664799"/>
  </r>
  <r>
    <x v="96"/>
    <x v="3"/>
    <x v="14"/>
    <x v="5"/>
    <x v="90"/>
    <x v="63"/>
    <n v="0.9"/>
    <n v="4.18"/>
    <n v="0.53"/>
    <n v="1.49"/>
    <n v="0.63"/>
    <n v="2"/>
    <n v="7"/>
    <n v="0.53285714285714281"/>
    <n v="3.73"/>
    <n v="6.2"/>
    <n v="2.629"/>
    <n v="0.37562940584088622"/>
  </r>
  <r>
    <x v="97"/>
    <x v="3"/>
    <x v="14"/>
    <x v="6"/>
    <x v="91"/>
    <x v="84"/>
    <n v="0.08"/>
    <n v="2.87"/>
    <n v="1.29"/>
    <n v="0.87"/>
    <n v="1.04"/>
    <n v="5"/>
    <n v="7"/>
    <n v="0.44285714285714289"/>
    <n v="3.1"/>
    <n v="5.03"/>
    <n v="2.5939999999999999"/>
    <n v="0.38130381303813038"/>
  </r>
  <r>
    <x v="98"/>
    <x v="3"/>
    <x v="14"/>
    <x v="0"/>
    <x v="92"/>
    <x v="85"/>
    <n v="0.67"/>
    <n v="4.83"/>
    <n v="0.82"/>
    <n v="0.71"/>
    <n v="1.86"/>
    <n v="6"/>
    <n v="7"/>
    <n v="0.50714285714285712"/>
    <n v="3.55"/>
    <n v="6.36"/>
    <n v="2.0799999999999996"/>
    <n v="0.35822401614530774"/>
  </r>
  <r>
    <x v="99"/>
    <x v="3"/>
    <x v="14"/>
    <x v="1"/>
    <x v="93"/>
    <x v="86"/>
    <n v="0.92"/>
    <n v="4.67"/>
    <n v="2.5499999999999998"/>
    <n v="1.39"/>
    <n v="0.05"/>
    <n v="2"/>
    <n v="7"/>
    <n v="0.76428571428571423"/>
    <n v="5.35"/>
    <n v="8.61"/>
    <n v="3.0379999999999998"/>
    <n v="0.38323782234957021"/>
  </r>
  <r>
    <x v="100"/>
    <x v="3"/>
    <x v="14"/>
    <x v="2"/>
    <x v="94"/>
    <x v="87"/>
    <n v="0.51"/>
    <n v="2.5299999999999998"/>
    <n v="1.34"/>
    <n v="0.57999999999999996"/>
    <n v="0.89"/>
    <n v="6"/>
    <n v="7"/>
    <n v="0.91714285714285704"/>
    <n v="6.419999999999999"/>
    <n v="4.45"/>
    <n v="4.206999999999999"/>
    <n v="0.59061637534498612"/>
  </r>
  <r>
    <x v="101"/>
    <x v="3"/>
    <x v="14"/>
    <x v="3"/>
    <x v="95"/>
    <x v="88"/>
    <n v="1.21"/>
    <n v="3.16"/>
    <n v="1.4"/>
    <n v="0.06"/>
    <n v="1.88"/>
    <n v="4"/>
    <n v="5"/>
    <n v="1"/>
    <n v="7.01"/>
    <n v="4.62"/>
    <n v="3.5920000000000001"/>
    <n v="0.60275150472914873"/>
  </r>
  <r>
    <x v="102"/>
    <x v="3"/>
    <x v="14"/>
    <x v="4"/>
    <x v="96"/>
    <x v="89"/>
    <n v="0.43"/>
    <n v="2"/>
    <n v="0.89"/>
    <n v="0.09"/>
    <n v="0.11"/>
    <n v="8"/>
    <n v="5"/>
    <n v="1"/>
    <n v="6.31"/>
    <n v="2.98"/>
    <n v="4.4720000000000004"/>
    <n v="0.67922497308934338"/>
  </r>
  <r>
    <x v="103"/>
    <x v="3"/>
    <x v="15"/>
    <x v="5"/>
    <x v="97"/>
    <x v="90"/>
    <n v="1.54"/>
    <n v="1.1399999999999999"/>
    <n v="0.01"/>
    <n v="1.68"/>
    <n v="1.02"/>
    <n v="9"/>
    <n v="7"/>
    <n v="1"/>
    <n v="7.94"/>
    <n v="2.83"/>
    <n v="4.4809999999999999"/>
    <n v="0.73723305478180134"/>
  </r>
  <r>
    <x v="104"/>
    <x v="3"/>
    <x v="15"/>
    <x v="6"/>
    <x v="98"/>
    <x v="91"/>
    <n v="1.43"/>
    <n v="3.82"/>
    <n v="2.13"/>
    <n v="1.56"/>
    <n v="0.15"/>
    <n v="7"/>
    <n v="7"/>
    <n v="0.6757142857142856"/>
    <n v="4.7299999999999995"/>
    <n v="7.51"/>
    <n v="2.4960000000000004"/>
    <n v="0.38643790849673204"/>
  </r>
  <r>
    <x v="105"/>
    <x v="3"/>
    <x v="15"/>
    <x v="0"/>
    <x v="99"/>
    <x v="92"/>
    <n v="0.66"/>
    <n v="4.04"/>
    <n v="0.3"/>
    <n v="1.85"/>
    <n v="0.22"/>
    <n v="2"/>
    <n v="7"/>
    <n v="0.29428571428571432"/>
    <n v="2.06"/>
    <n v="6.1899999999999995"/>
    <n v="2.3569999999999998"/>
    <n v="0.2496969696969697"/>
  </r>
  <r>
    <x v="106"/>
    <x v="3"/>
    <x v="15"/>
    <x v="1"/>
    <x v="100"/>
    <x v="93"/>
    <n v="0.89"/>
    <n v="3.6"/>
    <n v="1.25"/>
    <n v="1.41"/>
    <n v="0.01"/>
    <n v="2"/>
    <n v="7"/>
    <n v="0.71142857142857141"/>
    <n v="4.9799999999999995"/>
    <n v="6.26"/>
    <n v="3.7129999999999996"/>
    <n v="0.44306049822064059"/>
  </r>
  <r>
    <x v="107"/>
    <x v="3"/>
    <x v="15"/>
    <x v="2"/>
    <x v="46"/>
    <x v="94"/>
    <n v="0.48"/>
    <n v="2.06"/>
    <n v="2.99"/>
    <n v="1.39"/>
    <n v="1.04"/>
    <n v="9"/>
    <n v="7"/>
    <n v="0.89142857142857146"/>
    <n v="6.24"/>
    <n v="6.44"/>
    <n v="4.008"/>
    <n v="0.49211356466876977"/>
  </r>
  <r>
    <x v="108"/>
    <x v="3"/>
    <x v="15"/>
    <x v="3"/>
    <x v="101"/>
    <x v="95"/>
    <n v="1.07"/>
    <n v="4.83"/>
    <n v="0.81"/>
    <n v="1.27"/>
    <n v="0.3"/>
    <n v="5"/>
    <n v="5"/>
    <n v="0.87999999999999989"/>
    <n v="4.3999999999999995"/>
    <n v="6.91"/>
    <n v="3.2559999999999998"/>
    <n v="0.38903625110521661"/>
  </r>
  <r>
    <x v="109"/>
    <x v="3"/>
    <x v="15"/>
    <x v="4"/>
    <x v="101"/>
    <x v="96"/>
    <n v="0.99"/>
    <n v="4.37"/>
    <n v="0.42"/>
    <n v="0.85"/>
    <n v="0.6"/>
    <n v="7"/>
    <n v="5"/>
    <n v="0.92400000000000004"/>
    <n v="4.62"/>
    <n v="5.64"/>
    <n v="3.4089999999999994"/>
    <n v="0.45029239766081874"/>
  </r>
  <r>
    <x v="110"/>
    <x v="3"/>
    <x v="16"/>
    <x v="5"/>
    <x v="5"/>
    <x v="97"/>
    <n v="0.97"/>
    <n v="4.6900000000000004"/>
    <n v="0.28000000000000003"/>
    <n v="2"/>
    <n v="0.23"/>
    <n v="7"/>
    <n v="7"/>
    <n v="0.36571428571428571"/>
    <n v="2.56"/>
    <n v="6.9700000000000006"/>
    <n v="2.9169999999999998"/>
    <n v="0.2686253934942287"/>
  </r>
  <r>
    <x v="111"/>
    <x v="3"/>
    <x v="16"/>
    <x v="6"/>
    <x v="88"/>
    <x v="34"/>
    <n v="0.82"/>
    <n v="4.63"/>
    <n v="1.65"/>
    <n v="1.3"/>
    <n v="1.38"/>
    <n v="8"/>
    <n v="7"/>
    <n v="0.70857142857142852"/>
    <n v="4.96"/>
    <n v="7.5799999999999992"/>
    <n v="2.7309999999999994"/>
    <n v="0.3955342902711324"/>
  </r>
  <r>
    <x v="112"/>
    <x v="3"/>
    <x v="16"/>
    <x v="0"/>
    <x v="102"/>
    <x v="23"/>
    <n v="1.42"/>
    <n v="2.72"/>
    <n v="1.1299999999999999"/>
    <n v="1.1000000000000001"/>
    <n v="1.93"/>
    <n v="8"/>
    <n v="7"/>
    <n v="1"/>
    <n v="7.8599999999999994"/>
    <n v="4.95"/>
    <n v="3.7519999999999998"/>
    <n v="0.61358313817330212"/>
  </r>
  <r>
    <x v="113"/>
    <x v="3"/>
    <x v="16"/>
    <x v="1"/>
    <x v="53"/>
    <x v="98"/>
    <n v="0.92"/>
    <n v="4.5999999999999996"/>
    <n v="1.93"/>
    <n v="1.41"/>
    <n v="1.9"/>
    <n v="1"/>
    <n v="7"/>
    <n v="0.76428571428571423"/>
    <n v="5.35"/>
    <n v="7.9399999999999995"/>
    <n v="3.1380000000000003"/>
    <n v="0.40255831452219715"/>
  </r>
  <r>
    <x v="114"/>
    <x v="3"/>
    <x v="16"/>
    <x v="2"/>
    <x v="103"/>
    <x v="99"/>
    <n v="0.75"/>
    <n v="3.26"/>
    <n v="1.83"/>
    <n v="0.21"/>
    <n v="0.06"/>
    <n v="5"/>
    <n v="7"/>
    <n v="0.61"/>
    <n v="4.2699999999999996"/>
    <n v="5.3"/>
    <n v="2.8520000000000003"/>
    <n v="0.4461859979101358"/>
  </r>
  <r>
    <x v="115"/>
    <x v="3"/>
    <x v="16"/>
    <x v="3"/>
    <x v="20"/>
    <x v="100"/>
    <n v="0.78"/>
    <n v="1.05"/>
    <n v="1.17"/>
    <n v="0.38"/>
    <n v="0.78"/>
    <n v="5"/>
    <n v="5"/>
    <n v="1"/>
    <n v="5.45"/>
    <n v="2.5999999999999996"/>
    <n v="3.35"/>
    <n v="0.67701863354037262"/>
  </r>
  <r>
    <x v="116"/>
    <x v="3"/>
    <x v="16"/>
    <x v="4"/>
    <x v="104"/>
    <x v="101"/>
    <n v="0.87"/>
    <n v="3.06"/>
    <n v="1.1499999999999999"/>
    <n v="1.93"/>
    <n v="1.92"/>
    <n v="2"/>
    <n v="5"/>
    <n v="1"/>
    <n v="7.55"/>
    <n v="6.14"/>
    <n v="3.4779999999999998"/>
    <n v="0.55149744338933526"/>
  </r>
  <r>
    <x v="117"/>
    <x v="3"/>
    <x v="17"/>
    <x v="5"/>
    <x v="105"/>
    <x v="102"/>
    <n v="0.21"/>
    <n v="4.8"/>
    <n v="2.95"/>
    <n v="1.1200000000000001"/>
    <n v="0.36"/>
    <n v="10"/>
    <n v="7"/>
    <n v="0.6785714285714286"/>
    <n v="4.75"/>
    <n v="8.870000000000001"/>
    <n v="2.472"/>
    <n v="0.3487518355359765"/>
  </r>
  <r>
    <x v="118"/>
    <x v="3"/>
    <x v="17"/>
    <x v="6"/>
    <x v="10"/>
    <x v="103"/>
    <n v="1.19"/>
    <n v="4.8099999999999996"/>
    <n v="2.54"/>
    <n v="0.87"/>
    <n v="1.9"/>
    <n v="1"/>
    <n v="7"/>
    <n v="0.83142857142857152"/>
    <n v="5.82"/>
    <n v="8.2199999999999989"/>
    <n v="2.3860000000000001"/>
    <n v="0.41452991452991456"/>
  </r>
  <r>
    <x v="119"/>
    <x v="3"/>
    <x v="17"/>
    <x v="0"/>
    <x v="106"/>
    <x v="104"/>
    <n v="1.99"/>
    <n v="1.83"/>
    <n v="1.65"/>
    <n v="0.54"/>
    <n v="1.0900000000000001"/>
    <n v="2"/>
    <n v="7"/>
    <n v="0.98285714285714287"/>
    <n v="6.88"/>
    <n v="4.0199999999999996"/>
    <n v="3.1840000000000002"/>
    <n v="0.63119266055045875"/>
  </r>
  <r>
    <x v="120"/>
    <x v="4"/>
    <x v="17"/>
    <x v="1"/>
    <x v="14"/>
    <x v="39"/>
    <n v="7.0000000000000007E-2"/>
    <n v="3.49"/>
    <n v="2.72"/>
    <n v="0.27"/>
    <n v="1.59"/>
    <n v="5"/>
    <n v="7"/>
    <n v="0.49571428571428572"/>
    <n v="3.47"/>
    <n v="6.48"/>
    <n v="1.992"/>
    <n v="0.34874371859296482"/>
  </r>
  <r>
    <x v="121"/>
    <x v="4"/>
    <x v="17"/>
    <x v="2"/>
    <x v="107"/>
    <x v="105"/>
    <n v="1.69"/>
    <n v="4.25"/>
    <n v="0.84"/>
    <n v="1.84"/>
    <n v="0.94"/>
    <n v="10"/>
    <n v="7"/>
    <n v="0.84857142857142853"/>
    <n v="5.9399999999999995"/>
    <n v="6.93"/>
    <n v="3.2710000000000004"/>
    <n v="0.46153846153846151"/>
  </r>
  <r>
    <x v="122"/>
    <x v="4"/>
    <x v="17"/>
    <x v="3"/>
    <x v="44"/>
    <x v="106"/>
    <n v="1.58"/>
    <n v="2.89"/>
    <n v="0.88"/>
    <n v="0.42"/>
    <n v="0.77"/>
    <n v="4"/>
    <n v="5"/>
    <n v="1"/>
    <n v="6.68"/>
    <n v="4.1900000000000004"/>
    <n v="3.8130000000000002"/>
    <n v="0.61453541858325655"/>
  </r>
  <r>
    <x v="123"/>
    <x v="4"/>
    <x v="17"/>
    <x v="4"/>
    <x v="108"/>
    <x v="107"/>
    <n v="0.91"/>
    <n v="2.44"/>
    <n v="0.03"/>
    <n v="1.59"/>
    <n v="1.18"/>
    <n v="2"/>
    <n v="5"/>
    <n v="1"/>
    <n v="5.63"/>
    <n v="4.0599999999999996"/>
    <n v="4.0210000000000008"/>
    <n v="0.58101135190918474"/>
  </r>
  <r>
    <x v="124"/>
    <x v="4"/>
    <x v="18"/>
    <x v="5"/>
    <x v="109"/>
    <x v="108"/>
    <n v="1.87"/>
    <n v="3.74"/>
    <n v="2.63"/>
    <n v="0.28000000000000003"/>
    <n v="0.81"/>
    <n v="2"/>
    <n v="7"/>
    <n v="0.54714285714285715"/>
    <n v="3.83"/>
    <n v="6.65"/>
    <n v="1.9370000000000003"/>
    <n v="0.36545801526717558"/>
  </r>
  <r>
    <x v="125"/>
    <x v="4"/>
    <x v="18"/>
    <x v="6"/>
    <x v="110"/>
    <x v="109"/>
    <n v="1.01"/>
    <n v="2.5299999999999998"/>
    <n v="2.61"/>
    <n v="1.89"/>
    <n v="0.8"/>
    <n v="3"/>
    <n v="7"/>
    <n v="0.75428571428571434"/>
    <n v="5.28"/>
    <n v="7.0299999999999994"/>
    <n v="3.5869999999999997"/>
    <n v="0.42891957757920396"/>
  </r>
  <r>
    <x v="126"/>
    <x v="4"/>
    <x v="18"/>
    <x v="0"/>
    <x v="30"/>
    <x v="90"/>
    <n v="0.11"/>
    <n v="1.97"/>
    <n v="0.56000000000000005"/>
    <n v="1"/>
    <n v="0.33"/>
    <n v="4"/>
    <n v="7"/>
    <n v="0.67714285714285716"/>
    <n v="4.74"/>
    <n v="3.5300000000000002"/>
    <n v="3.6249999999999996"/>
    <n v="0.57315598548972191"/>
  </r>
  <r>
    <x v="127"/>
    <x v="4"/>
    <x v="18"/>
    <x v="1"/>
    <x v="69"/>
    <x v="36"/>
    <n v="0.61"/>
    <n v="3.94"/>
    <n v="0.64"/>
    <n v="0.81"/>
    <n v="0.78"/>
    <n v="2"/>
    <n v="7"/>
    <n v="0.43285714285714283"/>
    <n v="3.03"/>
    <n v="5.3900000000000006"/>
    <n v="2.6599999999999997"/>
    <n v="0.35985748218527314"/>
  </r>
  <r>
    <x v="128"/>
    <x v="4"/>
    <x v="18"/>
    <x v="2"/>
    <x v="111"/>
    <x v="110"/>
    <n v="0.76"/>
    <n v="1.97"/>
    <n v="2.57"/>
    <n v="1.81"/>
    <n v="0.19"/>
    <n v="10"/>
    <n v="7"/>
    <n v="0.70000000000000007"/>
    <n v="4.9000000000000004"/>
    <n v="6.35"/>
    <n v="3.6869999999999998"/>
    <n v="0.43555555555555558"/>
  </r>
  <r>
    <x v="129"/>
    <x v="4"/>
    <x v="18"/>
    <x v="3"/>
    <x v="112"/>
    <x v="111"/>
    <n v="0.88"/>
    <n v="3.06"/>
    <n v="2.81"/>
    <n v="1.98"/>
    <n v="0.55000000000000004"/>
    <n v="1"/>
    <n v="5"/>
    <n v="1"/>
    <n v="5.21"/>
    <n v="7.85"/>
    <n v="3.1109999999999998"/>
    <n v="0.39892802450229714"/>
  </r>
  <r>
    <x v="130"/>
    <x v="4"/>
    <x v="18"/>
    <x v="4"/>
    <x v="113"/>
    <x v="94"/>
    <n v="1.57"/>
    <n v="3.61"/>
    <n v="2.4700000000000002"/>
    <n v="1.23"/>
    <n v="1.1100000000000001"/>
    <n v="10"/>
    <n v="5"/>
    <n v="0.77000000000000013"/>
    <n v="3.8500000000000005"/>
    <n v="7.3100000000000005"/>
    <n v="2.7029999999999998"/>
    <n v="0.34498207885304666"/>
  </r>
  <r>
    <x v="131"/>
    <x v="4"/>
    <x v="19"/>
    <x v="5"/>
    <x v="114"/>
    <x v="112"/>
    <n v="1.8"/>
    <n v="2.35"/>
    <n v="1.3"/>
    <n v="1.76"/>
    <n v="1.49"/>
    <n v="5"/>
    <n v="7"/>
    <n v="1"/>
    <n v="9.0500000000000007"/>
    <n v="5.41"/>
    <n v="4.4139999999999997"/>
    <n v="0.62586445366528354"/>
  </r>
  <r>
    <x v="132"/>
    <x v="4"/>
    <x v="19"/>
    <x v="6"/>
    <x v="59"/>
    <x v="113"/>
    <n v="0.35"/>
    <n v="4.79"/>
    <n v="2.98"/>
    <n v="0.93"/>
    <n v="1.69"/>
    <n v="10"/>
    <n v="7"/>
    <n v="0.46714285714285714"/>
    <n v="3.27"/>
    <n v="8.6999999999999993"/>
    <n v="1.7799999999999998"/>
    <n v="0.27318295739348375"/>
  </r>
  <r>
    <x v="133"/>
    <x v="4"/>
    <x v="19"/>
    <x v="0"/>
    <x v="115"/>
    <x v="50"/>
    <n v="1.6"/>
    <n v="2.75"/>
    <n v="2.44"/>
    <n v="0.12"/>
    <n v="0.88"/>
    <n v="10"/>
    <n v="7"/>
    <n v="1"/>
    <n v="7.7799999999999994"/>
    <n v="5.31"/>
    <n v="3.883"/>
    <n v="0.59434682964094721"/>
  </r>
  <r>
    <x v="134"/>
    <x v="4"/>
    <x v="19"/>
    <x v="1"/>
    <x v="116"/>
    <x v="114"/>
    <n v="0.97"/>
    <n v="4.59"/>
    <n v="2.52"/>
    <n v="1.1499999999999999"/>
    <n v="1.64"/>
    <n v="4"/>
    <n v="7"/>
    <n v="0.9028571428571428"/>
    <n v="6.3199999999999994"/>
    <n v="8.26"/>
    <n v="2.5599999999999996"/>
    <n v="0.43347050754458161"/>
  </r>
  <r>
    <x v="135"/>
    <x v="4"/>
    <x v="19"/>
    <x v="2"/>
    <x v="117"/>
    <x v="115"/>
    <n v="0.83"/>
    <n v="1.96"/>
    <n v="0.2"/>
    <n v="0.95"/>
    <n v="1.99"/>
    <n v="9"/>
    <n v="7"/>
    <n v="0.98857142857142855"/>
    <n v="6.92"/>
    <n v="3.1100000000000003"/>
    <n v="3.5639999999999996"/>
    <n v="0.68993020937188421"/>
  </r>
  <r>
    <x v="136"/>
    <x v="4"/>
    <x v="19"/>
    <x v="3"/>
    <x v="118"/>
    <x v="116"/>
    <n v="0.65"/>
    <n v="2.58"/>
    <n v="1.41"/>
    <n v="0.74"/>
    <n v="0.34"/>
    <n v="4"/>
    <n v="5"/>
    <n v="1"/>
    <n v="5.51"/>
    <n v="4.7300000000000004"/>
    <n v="3.6840000000000002"/>
    <n v="0.5380859375"/>
  </r>
  <r>
    <x v="137"/>
    <x v="4"/>
    <x v="19"/>
    <x v="4"/>
    <x v="119"/>
    <x v="117"/>
    <n v="1.63"/>
    <n v="1.72"/>
    <n v="2.33"/>
    <n v="0.99"/>
    <n v="0.79"/>
    <n v="10"/>
    <n v="5"/>
    <n v="0.96200000000000008"/>
    <n v="4.8100000000000005"/>
    <n v="5.04"/>
    <n v="3.085"/>
    <n v="0.48832487309644668"/>
  </r>
  <r>
    <x v="138"/>
    <x v="4"/>
    <x v="20"/>
    <x v="5"/>
    <x v="120"/>
    <x v="118"/>
    <n v="0.51"/>
    <n v="4.2300000000000004"/>
    <n v="0.06"/>
    <n v="1.87"/>
    <n v="1.24"/>
    <n v="5"/>
    <n v="7"/>
    <n v="0.76142857142857145"/>
    <n v="5.33"/>
    <n v="6.16"/>
    <n v="3.5110000000000001"/>
    <n v="0.46388163620539602"/>
  </r>
  <r>
    <x v="139"/>
    <x v="4"/>
    <x v="20"/>
    <x v="6"/>
    <x v="121"/>
    <x v="119"/>
    <n v="0.66"/>
    <n v="3.8"/>
    <n v="1.24"/>
    <n v="1.1299999999999999"/>
    <n v="1.65"/>
    <n v="10"/>
    <n v="7"/>
    <n v="0.99428571428571444"/>
    <n v="6.9600000000000009"/>
    <n v="6.17"/>
    <n v="3.0390000000000006"/>
    <n v="0.53008377760853009"/>
  </r>
  <r>
    <x v="140"/>
    <x v="4"/>
    <x v="20"/>
    <x v="0"/>
    <x v="122"/>
    <x v="120"/>
    <n v="1.95"/>
    <n v="1.2"/>
    <n v="2.29"/>
    <n v="1.88"/>
    <n v="0.76"/>
    <n v="6"/>
    <n v="7"/>
    <n v="1"/>
    <n v="7.06"/>
    <n v="5.37"/>
    <n v="4.2859999999999996"/>
    <n v="0.56798069187449718"/>
  </r>
  <r>
    <x v="141"/>
    <x v="4"/>
    <x v="20"/>
    <x v="1"/>
    <x v="123"/>
    <x v="121"/>
    <n v="1.0900000000000001"/>
    <n v="1.5"/>
    <n v="2.94"/>
    <n v="0.5"/>
    <n v="1.84"/>
    <n v="9"/>
    <n v="7"/>
    <n v="1"/>
    <n v="7.1"/>
    <n v="4.9399999999999995"/>
    <n v="3.1880000000000002"/>
    <n v="0.5897009966777409"/>
  </r>
  <r>
    <x v="142"/>
    <x v="4"/>
    <x v="20"/>
    <x v="2"/>
    <x v="124"/>
    <x v="32"/>
    <n v="0.42"/>
    <n v="1.88"/>
    <n v="2.19"/>
    <n v="1.45"/>
    <n v="0.75"/>
    <n v="8"/>
    <n v="7"/>
    <n v="0.97714285714285709"/>
    <n v="6.84"/>
    <n v="5.5200000000000005"/>
    <n v="4.0389999999999997"/>
    <n v="0.55339805825242716"/>
  </r>
  <r>
    <x v="143"/>
    <x v="4"/>
    <x v="20"/>
    <x v="3"/>
    <x v="125"/>
    <x v="69"/>
    <n v="1.66"/>
    <n v="3.38"/>
    <n v="2.54"/>
    <n v="0.45"/>
    <n v="0.31"/>
    <n v="9"/>
    <n v="5"/>
    <n v="1"/>
    <n v="6.2"/>
    <n v="6.37"/>
    <n v="3.4600000000000004"/>
    <n v="0.49323786793953861"/>
  </r>
  <r>
    <x v="144"/>
    <x v="4"/>
    <x v="20"/>
    <x v="4"/>
    <x v="69"/>
    <x v="122"/>
    <n v="0.82"/>
    <n v="3.44"/>
    <n v="0.54"/>
    <n v="0.45"/>
    <n v="1.68"/>
    <n v="6"/>
    <n v="5"/>
    <n v="0.82799999999999996"/>
    <n v="4.1399999999999997"/>
    <n v="4.43"/>
    <n v="2.7440000000000002"/>
    <n v="0.48308051341890312"/>
  </r>
  <r>
    <x v="145"/>
    <x v="4"/>
    <x v="21"/>
    <x v="5"/>
    <x v="126"/>
    <x v="13"/>
    <n v="0.34"/>
    <n v="3.18"/>
    <n v="2.4900000000000002"/>
    <n v="0.28000000000000003"/>
    <n v="1.47"/>
    <n v="6"/>
    <n v="7"/>
    <n v="0.6657142857142857"/>
    <n v="4.66"/>
    <n v="5.95"/>
    <n v="2.48"/>
    <n v="0.43920829406220552"/>
  </r>
  <r>
    <x v="146"/>
    <x v="4"/>
    <x v="21"/>
    <x v="6"/>
    <x v="103"/>
    <x v="123"/>
    <n v="0.27"/>
    <n v="2.1"/>
    <n v="2.82"/>
    <n v="1.7"/>
    <n v="1.84"/>
    <n v="7"/>
    <n v="7"/>
    <n v="0.79571428571428571"/>
    <n v="5.57"/>
    <n v="6.62"/>
    <n v="3.6130000000000004"/>
    <n v="0.45693191140278916"/>
  </r>
  <r>
    <x v="147"/>
    <x v="4"/>
    <x v="21"/>
    <x v="0"/>
    <x v="127"/>
    <x v="124"/>
    <n v="1.65"/>
    <n v="3.01"/>
    <n v="2.42"/>
    <n v="1.22"/>
    <n v="2"/>
    <n v="2"/>
    <n v="7"/>
    <n v="1"/>
    <n v="7.6400000000000006"/>
    <n v="6.6499999999999995"/>
    <n v="3.5670000000000002"/>
    <n v="0.53463960811756484"/>
  </r>
  <r>
    <x v="148"/>
    <x v="4"/>
    <x v="21"/>
    <x v="1"/>
    <x v="128"/>
    <x v="125"/>
    <n v="1.43"/>
    <n v="1.03"/>
    <n v="0.38"/>
    <n v="1.76"/>
    <n v="1.57"/>
    <n v="8"/>
    <n v="7"/>
    <n v="0.80285714285714282"/>
    <n v="5.62"/>
    <n v="3.17"/>
    <n v="3.7130000000000001"/>
    <n v="0.63936291240045517"/>
  </r>
  <r>
    <x v="149"/>
    <x v="4"/>
    <x v="21"/>
    <x v="2"/>
    <x v="98"/>
    <x v="21"/>
    <n v="1.65"/>
    <n v="3.77"/>
    <n v="1.47"/>
    <n v="1.38"/>
    <n v="0.88"/>
    <n v="8"/>
    <n v="7"/>
    <n v="0.81142857142857139"/>
    <n v="5.68"/>
    <n v="6.62"/>
    <n v="3.1539999999999999"/>
    <n v="0.46178861788617881"/>
  </r>
  <r>
    <x v="150"/>
    <x v="4"/>
    <x v="21"/>
    <x v="3"/>
    <x v="129"/>
    <x v="126"/>
    <n v="1.6"/>
    <n v="4.84"/>
    <n v="0.13"/>
    <n v="0.95"/>
    <n v="1.34"/>
    <n v="2"/>
    <n v="5"/>
    <n v="1"/>
    <n v="8.2099999999999991"/>
    <n v="5.92"/>
    <n v="3.5540000000000003"/>
    <n v="0.581033262561925"/>
  </r>
  <r>
    <x v="151"/>
    <x v="5"/>
    <x v="21"/>
    <x v="4"/>
    <x v="130"/>
    <x v="93"/>
    <n v="0.83"/>
    <n v="1.63"/>
    <n v="0.78"/>
    <n v="0.95"/>
    <n v="0.72"/>
    <n v="4"/>
    <n v="5"/>
    <n v="0.76400000000000001"/>
    <n v="3.8200000000000003"/>
    <n v="3.3600000000000003"/>
    <n v="3.2209999999999996"/>
    <n v="0.53203342618384397"/>
  </r>
  <r>
    <x v="152"/>
    <x v="5"/>
    <x v="22"/>
    <x v="5"/>
    <x v="131"/>
    <x v="38"/>
    <n v="7.0000000000000007E-2"/>
    <n v="4.9000000000000004"/>
    <n v="1.92"/>
    <n v="0.63"/>
    <n v="0.23"/>
    <n v="4"/>
    <n v="7"/>
    <n v="0.64857142857142869"/>
    <n v="4.5400000000000009"/>
    <n v="7.45"/>
    <n v="3.0589999999999997"/>
    <n v="0.3786488740617181"/>
  </r>
  <r>
    <x v="153"/>
    <x v="5"/>
    <x v="22"/>
    <x v="6"/>
    <x v="132"/>
    <x v="39"/>
    <n v="1.25"/>
    <n v="3.36"/>
    <n v="1.87"/>
    <n v="0.28000000000000003"/>
    <n v="0.15"/>
    <n v="7"/>
    <n v="7"/>
    <n v="0.93857142857142861"/>
    <n v="6.57"/>
    <n v="5.5100000000000007"/>
    <n v="3.6699999999999995"/>
    <n v="0.54387417218543044"/>
  </r>
  <r>
    <x v="154"/>
    <x v="5"/>
    <x v="22"/>
    <x v="0"/>
    <x v="133"/>
    <x v="127"/>
    <n v="1.3"/>
    <n v="4.6900000000000004"/>
    <n v="0.68"/>
    <n v="1.84"/>
    <n v="1.93"/>
    <n v="7"/>
    <n v="7"/>
    <n v="1"/>
    <n v="8.44"/>
    <n v="7.21"/>
    <n v="3.3970000000000002"/>
    <n v="0.53929712460063894"/>
  </r>
  <r>
    <x v="155"/>
    <x v="5"/>
    <x v="22"/>
    <x v="1"/>
    <x v="128"/>
    <x v="128"/>
    <n v="1.3"/>
    <n v="3.34"/>
    <n v="0.97"/>
    <n v="1.32"/>
    <n v="0.01"/>
    <n v="1"/>
    <n v="7"/>
    <n v="0.56142857142857139"/>
    <n v="3.9299999999999997"/>
    <n v="5.63"/>
    <n v="3.1870000000000003"/>
    <n v="0.41108786610878661"/>
  </r>
  <r>
    <x v="156"/>
    <x v="5"/>
    <x v="22"/>
    <x v="2"/>
    <x v="134"/>
    <x v="129"/>
    <n v="1.06"/>
    <n v="3.69"/>
    <n v="0.4"/>
    <n v="0.54"/>
    <n v="1.05"/>
    <n v="3"/>
    <n v="7"/>
    <n v="1"/>
    <n v="7.73"/>
    <n v="4.63"/>
    <n v="3.899"/>
    <n v="0.62540453074433666"/>
  </r>
  <r>
    <x v="157"/>
    <x v="5"/>
    <x v="22"/>
    <x v="3"/>
    <x v="38"/>
    <x v="130"/>
    <n v="0.62"/>
    <n v="2.12"/>
    <n v="1.94"/>
    <n v="0.11"/>
    <n v="1.48"/>
    <n v="10"/>
    <n v="5"/>
    <n v="1"/>
    <n v="5.32"/>
    <n v="4.1700000000000008"/>
    <n v="2.641"/>
    <n v="0.56059009483667011"/>
  </r>
  <r>
    <x v="158"/>
    <x v="5"/>
    <x v="22"/>
    <x v="4"/>
    <x v="135"/>
    <x v="125"/>
    <n v="1.17"/>
    <n v="4.25"/>
    <n v="2.4900000000000002"/>
    <n v="1.43"/>
    <n v="0.37"/>
    <n v="4"/>
    <n v="5"/>
    <n v="1"/>
    <n v="7.51"/>
    <n v="8.17"/>
    <n v="4.4679999999999991"/>
    <n v="0.47895408163265307"/>
  </r>
  <r>
    <x v="159"/>
    <x v="5"/>
    <x v="23"/>
    <x v="5"/>
    <x v="136"/>
    <x v="131"/>
    <n v="1.31"/>
    <n v="1.31"/>
    <n v="0.67"/>
    <n v="1.48"/>
    <n v="1.85"/>
    <n v="10"/>
    <n v="7"/>
    <n v="1"/>
    <n v="7.84"/>
    <n v="3.46"/>
    <n v="4.1289999999999996"/>
    <n v="0.69380530973451326"/>
  </r>
  <r>
    <x v="160"/>
    <x v="5"/>
    <x v="23"/>
    <x v="6"/>
    <x v="137"/>
    <x v="132"/>
    <n v="0.86"/>
    <n v="1.39"/>
    <n v="1.81"/>
    <n v="0.03"/>
    <n v="0.93"/>
    <n v="5"/>
    <n v="7"/>
    <n v="0.68142857142857149"/>
    <n v="4.7700000000000005"/>
    <n v="3.23"/>
    <n v="2.7150000000000003"/>
    <n v="0.59625000000000006"/>
  </r>
  <r>
    <x v="161"/>
    <x v="5"/>
    <x v="23"/>
    <x v="0"/>
    <x v="138"/>
    <x v="133"/>
    <n v="1.68"/>
    <n v="2.4300000000000002"/>
    <n v="1.67"/>
    <n v="0.66"/>
    <n v="0.35"/>
    <n v="1"/>
    <n v="7"/>
    <n v="1"/>
    <n v="7.0699999999999994"/>
    <n v="4.76"/>
    <n v="4.5910000000000002"/>
    <n v="0.59763313609467461"/>
  </r>
  <r>
    <x v="162"/>
    <x v="5"/>
    <x v="23"/>
    <x v="1"/>
    <x v="139"/>
    <x v="134"/>
    <n v="1.51"/>
    <n v="1.76"/>
    <n v="0.91"/>
    <n v="1.51"/>
    <n v="1.1000000000000001"/>
    <n v="6"/>
    <n v="7"/>
    <n v="1"/>
    <n v="7.6"/>
    <n v="4.18"/>
    <n v="3.5910000000000002"/>
    <n v="0.64516129032258063"/>
  </r>
  <r>
    <x v="163"/>
    <x v="5"/>
    <x v="23"/>
    <x v="2"/>
    <x v="61"/>
    <x v="127"/>
    <n v="0.13"/>
    <n v="1.34"/>
    <n v="2.16"/>
    <n v="0.36"/>
    <n v="0.48"/>
    <n v="4"/>
    <n v="7"/>
    <n v="0.78285714285714281"/>
    <n v="5.4799999999999995"/>
    <n v="3.86"/>
    <n v="3.214"/>
    <n v="0.58672376873661669"/>
  </r>
  <r>
    <x v="164"/>
    <x v="5"/>
    <x v="23"/>
    <x v="3"/>
    <x v="140"/>
    <x v="63"/>
    <n v="1.29"/>
    <n v="3.37"/>
    <n v="2.92"/>
    <n v="1.02"/>
    <n v="1.53"/>
    <n v="7"/>
    <n v="5"/>
    <n v="1"/>
    <n v="7.5200000000000005"/>
    <n v="7.3100000000000005"/>
    <n v="3.5489999999999999"/>
    <n v="0.50708024275118002"/>
  </r>
  <r>
    <x v="165"/>
    <x v="5"/>
    <x v="23"/>
    <x v="4"/>
    <x v="141"/>
    <x v="128"/>
    <n v="1.21"/>
    <n v="2.81"/>
    <n v="1.89"/>
    <n v="1.21"/>
    <n v="0.25"/>
    <n v="6"/>
    <n v="5"/>
    <n v="1"/>
    <n v="5.62"/>
    <n v="5.91"/>
    <n v="3.746"/>
    <n v="0.48742411101474409"/>
  </r>
  <r>
    <x v="166"/>
    <x v="5"/>
    <x v="24"/>
    <x v="5"/>
    <x v="142"/>
    <x v="61"/>
    <n v="1.24"/>
    <n v="2.2599999999999998"/>
    <n v="1.84"/>
    <n v="1.21"/>
    <n v="0.83"/>
    <n v="10"/>
    <n v="7"/>
    <n v="1"/>
    <n v="7.6400000000000006"/>
    <n v="5.31"/>
    <n v="4.694"/>
    <n v="0.58996138996139003"/>
  </r>
  <r>
    <x v="167"/>
    <x v="5"/>
    <x v="24"/>
    <x v="6"/>
    <x v="143"/>
    <x v="135"/>
    <n v="1.64"/>
    <n v="4.87"/>
    <n v="1.95"/>
    <n v="0.64"/>
    <n v="0.5"/>
    <n v="7"/>
    <n v="7"/>
    <n v="0.55714285714285705"/>
    <n v="3.8999999999999995"/>
    <n v="7.46"/>
    <n v="2.798"/>
    <n v="0.34330985915492956"/>
  </r>
  <r>
    <x v="168"/>
    <x v="5"/>
    <x v="24"/>
    <x v="0"/>
    <x v="144"/>
    <x v="136"/>
    <n v="1.37"/>
    <n v="1.9"/>
    <n v="1.58"/>
    <n v="1.99"/>
    <n v="0.75"/>
    <n v="5"/>
    <n v="7"/>
    <n v="0.99571428571428566"/>
    <n v="6.97"/>
    <n v="5.47"/>
    <n v="3.6029999999999998"/>
    <n v="0.56028938906752412"/>
  </r>
  <r>
    <x v="169"/>
    <x v="5"/>
    <x v="24"/>
    <x v="1"/>
    <x v="145"/>
    <x v="0"/>
    <n v="0.04"/>
    <n v="3.71"/>
    <n v="0.48"/>
    <n v="1.1000000000000001"/>
    <n v="1.53"/>
    <n v="2"/>
    <n v="7"/>
    <n v="0.96142857142857152"/>
    <n v="6.73"/>
    <n v="5.2899999999999991"/>
    <n v="3.4830000000000001"/>
    <n v="0.55990016638935114"/>
  </r>
  <r>
    <x v="170"/>
    <x v="5"/>
    <x v="24"/>
    <x v="2"/>
    <x v="8"/>
    <x v="137"/>
    <n v="0.95"/>
    <n v="2.62"/>
    <n v="0.84"/>
    <n v="1.94"/>
    <n v="1.69"/>
    <n v="6"/>
    <n v="7"/>
    <n v="0.58142857142857152"/>
    <n v="4.07"/>
    <n v="5.4"/>
    <n v="3.0379999999999998"/>
    <n v="0.42977824709609291"/>
  </r>
  <r>
    <x v="171"/>
    <x v="5"/>
    <x v="24"/>
    <x v="3"/>
    <x v="146"/>
    <x v="138"/>
    <n v="1.62"/>
    <n v="1.1499999999999999"/>
    <n v="0.65"/>
    <n v="0.42"/>
    <n v="1.03"/>
    <n v="1"/>
    <n v="5"/>
    <n v="1"/>
    <n v="5.16"/>
    <n v="2.2199999999999998"/>
    <n v="2.78"/>
    <n v="0.69918699186991873"/>
  </r>
  <r>
    <x v="172"/>
    <x v="5"/>
    <x v="24"/>
    <x v="4"/>
    <x v="147"/>
    <x v="139"/>
    <n v="1.77"/>
    <n v="4.4000000000000004"/>
    <n v="1.42"/>
    <n v="0.22"/>
    <n v="0.3"/>
    <n v="6"/>
    <n v="5"/>
    <n v="1"/>
    <n v="7.1"/>
    <n v="6.04"/>
    <n v="3.5270000000000001"/>
    <n v="0.54033485540334847"/>
  </r>
  <r>
    <x v="173"/>
    <x v="5"/>
    <x v="25"/>
    <x v="5"/>
    <x v="148"/>
    <x v="140"/>
    <n v="0.59"/>
    <n v="1.72"/>
    <n v="0.45"/>
    <n v="1.96"/>
    <n v="1.1499999999999999"/>
    <n v="6"/>
    <n v="7"/>
    <n v="0.8571428571428571"/>
    <n v="6"/>
    <n v="4.13"/>
    <n v="3.6839999999999993"/>
    <n v="0.59230009871668321"/>
  </r>
  <r>
    <x v="174"/>
    <x v="5"/>
    <x v="25"/>
    <x v="6"/>
    <x v="149"/>
    <x v="83"/>
    <n v="0.03"/>
    <n v="1.82"/>
    <n v="1.21"/>
    <n v="0.88"/>
    <n v="0.3"/>
    <n v="2"/>
    <n v="7"/>
    <n v="0.36999999999999994"/>
    <n v="2.5899999999999994"/>
    <n v="3.91"/>
    <n v="2.1939999999999995"/>
    <n v="0.39846153846153837"/>
  </r>
  <r>
    <x v="175"/>
    <x v="5"/>
    <x v="25"/>
    <x v="0"/>
    <x v="150"/>
    <x v="141"/>
    <n v="0.51"/>
    <n v="4.17"/>
    <n v="2.75"/>
    <n v="0.41"/>
    <n v="0.73"/>
    <n v="4"/>
    <n v="7"/>
    <n v="0.83714285714285708"/>
    <n v="5.8599999999999994"/>
    <n v="7.33"/>
    <n v="3.4060000000000006"/>
    <n v="0.44427596664139496"/>
  </r>
  <r>
    <x v="176"/>
    <x v="5"/>
    <x v="25"/>
    <x v="1"/>
    <x v="141"/>
    <x v="142"/>
    <n v="1.84"/>
    <n v="4.58"/>
    <n v="0.45"/>
    <n v="0.26"/>
    <n v="1.29"/>
    <n v="6"/>
    <n v="7"/>
    <n v="1"/>
    <n v="7.29"/>
    <n v="5.29"/>
    <n v="4.2200000000000006"/>
    <n v="0.57949125596184414"/>
  </r>
  <r>
    <x v="177"/>
    <x v="5"/>
    <x v="25"/>
    <x v="2"/>
    <x v="51"/>
    <x v="113"/>
    <n v="0.69"/>
    <n v="1.84"/>
    <n v="2.68"/>
    <n v="0.33"/>
    <n v="1.73"/>
    <n v="3"/>
    <n v="7"/>
    <n v="0.83857142857142841"/>
    <n v="5.8699999999999992"/>
    <n v="4.8500000000000005"/>
    <n v="3.0609999999999999"/>
    <n v="0.5475746268656716"/>
  </r>
  <r>
    <x v="178"/>
    <x v="5"/>
    <x v="25"/>
    <x v="3"/>
    <x v="66"/>
    <x v="143"/>
    <n v="0.56000000000000005"/>
    <n v="1.41"/>
    <n v="1.29"/>
    <n v="1.88"/>
    <n v="1.9"/>
    <n v="3"/>
    <n v="5"/>
    <n v="1"/>
    <n v="6.25"/>
    <n v="4.58"/>
    <n v="3.7939999999999992"/>
    <n v="0.57710064635272396"/>
  </r>
  <r>
    <x v="179"/>
    <x v="5"/>
    <x v="25"/>
    <x v="4"/>
    <x v="136"/>
    <x v="79"/>
    <n v="1.01"/>
    <n v="4.33"/>
    <n v="2.67"/>
    <n v="0.57999999999999996"/>
    <n v="1.24"/>
    <n v="10"/>
    <n v="5"/>
    <n v="1"/>
    <n v="6.93"/>
    <n v="7.58"/>
    <n v="3.5999999999999996"/>
    <n v="0.477601654031702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x v="0"/>
    <s v="January"/>
    <n v="1"/>
    <s v="Wednesday"/>
    <n v="2.75"/>
    <n v="6.1"/>
    <n v="1.44"/>
    <n v="4.3600000000000003"/>
    <n v="0.36"/>
    <n v="0.67"/>
    <n v="0.3"/>
    <n v="9"/>
    <n v="7"/>
    <n v="0.64142857142857146"/>
    <n v="4.49"/>
    <n v="5.3900000000000006"/>
    <n v="2.7459999999999996"/>
    <n v="0.45445344129554655"/>
    <n v="0.45445344129554655"/>
  </r>
  <r>
    <x v="1"/>
    <s v="January"/>
    <n v="1"/>
    <s v="Thursday"/>
    <n v="1.87"/>
    <n v="6.85"/>
    <n v="1.18"/>
    <n v="3.1"/>
    <n v="1.1599999999999999"/>
    <n v="1.88"/>
    <n v="1.63"/>
    <n v="6"/>
    <n v="7"/>
    <n v="0.66857142857142848"/>
    <n v="4.68"/>
    <n v="6.14"/>
    <n v="2.6129999999999995"/>
    <n v="0.43253234750462105"/>
    <n v="0.43253234750462105"/>
  </r>
  <r>
    <x v="2"/>
    <s v="January"/>
    <n v="1"/>
    <s v="Friday"/>
    <n v="4.93"/>
    <n v="7.17"/>
    <n v="0.54"/>
    <n v="4.99"/>
    <n v="0.51"/>
    <n v="0.48"/>
    <n v="1.1599999999999999"/>
    <n v="7"/>
    <n v="7"/>
    <n v="0.94714285714285718"/>
    <n v="6.63"/>
    <n v="5.98"/>
    <n v="3.6809999999999992"/>
    <n v="0.52577319587628868"/>
    <n v="0.52577319587628868"/>
  </r>
  <r>
    <x v="3"/>
    <s v="January"/>
    <n v="1"/>
    <s v="Saturday"/>
    <n v="5.96"/>
    <n v="7.87"/>
    <n v="1.97"/>
    <n v="4.71"/>
    <n v="0.28000000000000003"/>
    <n v="1.52"/>
    <n v="0.41"/>
    <n v="6"/>
    <n v="5"/>
    <n v="1"/>
    <n v="8.34"/>
    <n v="6.51"/>
    <n v="4.6399999999999997"/>
    <n v="0.56161616161616157"/>
    <n v="0.56161616161616157"/>
  </r>
  <r>
    <x v="4"/>
    <s v="January"/>
    <n v="1"/>
    <s v="Sunday"/>
    <n v="4"/>
    <n v="7.23"/>
    <n v="0.52"/>
    <n v="2.42"/>
    <n v="0.05"/>
    <n v="1.65"/>
    <n v="1.18"/>
    <n v="10"/>
    <n v="5"/>
    <n v="1"/>
    <n v="5.6999999999999993"/>
    <n v="4.1199999999999992"/>
    <n v="3.6260000000000003"/>
    <n v="0.58044806517311609"/>
    <n v="0.58044806517311609"/>
  </r>
  <r>
    <x v="5"/>
    <s v="January"/>
    <n v="2"/>
    <s v="Monday"/>
    <n v="1.36"/>
    <n v="8.1999999999999993"/>
    <n v="1.02"/>
    <n v="3.46"/>
    <n v="1.79"/>
    <n v="0.44"/>
    <n v="0.37"/>
    <n v="6"/>
    <n v="7"/>
    <n v="0.39285714285714285"/>
    <n v="2.75"/>
    <n v="5.69"/>
    <n v="2.6829999999999998"/>
    <n v="0.32582938388625587"/>
    <n v="0.32582938388625587"/>
  </r>
  <r>
    <x v="6"/>
    <s v="January"/>
    <n v="2"/>
    <s v="Tuesday"/>
    <n v="4.32"/>
    <n v="7.92"/>
    <n v="1.22"/>
    <n v="1.05"/>
    <n v="1.5"/>
    <n v="0.75"/>
    <n v="0.44"/>
    <n v="3"/>
    <n v="7"/>
    <n v="0.85428571428571431"/>
    <n v="5.98"/>
    <n v="3.3"/>
    <n v="4.093"/>
    <n v="0.6443965517241379"/>
    <n v="0.6443965517241379"/>
  </r>
  <r>
    <x v="7"/>
    <s v="January"/>
    <n v="2"/>
    <s v="Wednesday"/>
    <n v="2.46"/>
    <n v="8.68"/>
    <n v="1.76"/>
    <n v="3.78"/>
    <n v="7.0000000000000007E-2"/>
    <n v="1.86"/>
    <n v="0.75"/>
    <n v="1"/>
    <n v="7"/>
    <n v="0.71"/>
    <n v="4.97"/>
    <n v="5.71"/>
    <n v="3.5549999999999997"/>
    <n v="0.46535580524344566"/>
    <n v="0.46535580524344566"/>
  </r>
  <r>
    <x v="8"/>
    <s v="January"/>
    <n v="2"/>
    <s v="Thursday"/>
    <n v="1.43"/>
    <n v="8.49"/>
    <n v="0.06"/>
    <n v="2.92"/>
    <n v="0.95"/>
    <n v="1.82"/>
    <n v="0.06"/>
    <n v="5"/>
    <n v="7"/>
    <n v="0.22142857142857145"/>
    <n v="1.55"/>
    <n v="5.69"/>
    <n v="2.7440000000000002"/>
    <n v="0.21408839779005526"/>
    <n v="0.21408839779005526"/>
  </r>
  <r>
    <x v="9"/>
    <s v="January"/>
    <n v="2"/>
    <s v="Friday"/>
    <n v="5.71"/>
    <n v="5.4"/>
    <n v="0.09"/>
    <n v="1.52"/>
    <n v="2.2200000000000002"/>
    <n v="0.6"/>
    <n v="0.94"/>
    <n v="9"/>
    <n v="7"/>
    <n v="0.96285714285714286"/>
    <n v="6.74"/>
    <n v="4.34"/>
    <n v="3.548"/>
    <n v="0.60830324909747291"/>
    <n v="0.60830324909747291"/>
  </r>
  <r>
    <x v="10"/>
    <s v="January"/>
    <n v="2"/>
    <s v="Saturday"/>
    <n v="2.73"/>
    <n v="6.38"/>
    <n v="1.89"/>
    <n v="1.24"/>
    <n v="2.7"/>
    <n v="1.02"/>
    <n v="1.46"/>
    <n v="4"/>
    <n v="5"/>
    <n v="1"/>
    <n v="6.0799999999999992"/>
    <n v="4.9600000000000009"/>
    <n v="2.99"/>
    <n v="0.55072463768115942"/>
    <n v="0.55072463768115942"/>
  </r>
  <r>
    <x v="11"/>
    <s v="January"/>
    <n v="2"/>
    <s v="Sunday"/>
    <n v="4.95"/>
    <n v="5.13"/>
    <n v="0.99"/>
    <n v="1.32"/>
    <n v="0.87"/>
    <n v="0.5"/>
    <n v="0.14000000000000001"/>
    <n v="3"/>
    <n v="5"/>
    <n v="1"/>
    <n v="6.08"/>
    <n v="2.69"/>
    <n v="3.4980000000000002"/>
    <n v="0.69327251995438999"/>
    <n v="0.69327251995438999"/>
  </r>
  <r>
    <x v="12"/>
    <s v="January"/>
    <n v="3"/>
    <s v="Monday"/>
    <n v="4.3600000000000003"/>
    <n v="7.93"/>
    <n v="1.03"/>
    <n v="1.85"/>
    <n v="0.24"/>
    <n v="0.13"/>
    <n v="1.55"/>
    <n v="8"/>
    <n v="7"/>
    <n v="0.99142857142857144"/>
    <n v="6.94"/>
    <n v="2.2199999999999998"/>
    <n v="4.120000000000001"/>
    <n v="0.75764192139737996"/>
    <n v="0.75764192139737996"/>
  </r>
  <r>
    <x v="13"/>
    <s v="January"/>
    <n v="3"/>
    <s v="Tuesday"/>
    <n v="1.71"/>
    <n v="6.13"/>
    <n v="1.25"/>
    <n v="4.3600000000000003"/>
    <n v="2.5"/>
    <n v="1.46"/>
    <n v="1.53"/>
    <n v="6"/>
    <n v="7"/>
    <n v="0.64142857142857146"/>
    <n v="4.49"/>
    <n v="8.32"/>
    <n v="2.0870000000000002"/>
    <n v="0.35050741608118657"/>
    <n v="0.35050741608118657"/>
  </r>
  <r>
    <x v="14"/>
    <s v="January"/>
    <n v="3"/>
    <s v="Wednesday"/>
    <n v="1.81"/>
    <n v="8.56"/>
    <n v="1.45"/>
    <n v="4.72"/>
    <n v="1.68"/>
    <n v="1.33"/>
    <n v="0.11"/>
    <n v="1"/>
    <n v="7"/>
    <n v="0.48142857142857143"/>
    <n v="3.37"/>
    <n v="7.7299999999999995"/>
    <n v="2.9420000000000002"/>
    <n v="0.30360360360360361"/>
    <n v="0.30360360360360361"/>
  </r>
  <r>
    <x v="15"/>
    <s v="January"/>
    <n v="3"/>
    <s v="Thursday"/>
    <n v="3.64"/>
    <n v="5.99"/>
    <n v="1.52"/>
    <n v="3.28"/>
    <n v="2.58"/>
    <n v="1.73"/>
    <n v="1.31"/>
    <n v="5"/>
    <n v="7"/>
    <n v="0.92428571428571438"/>
    <n v="6.4700000000000006"/>
    <n v="7.59"/>
    <n v="2.9710000000000001"/>
    <n v="0.46017069701280233"/>
    <n v="0.46017069701280233"/>
  </r>
  <r>
    <x v="16"/>
    <s v="January"/>
    <n v="3"/>
    <s v="Friday"/>
    <n v="2.2799999999999998"/>
    <n v="5.62"/>
    <n v="1.17"/>
    <n v="4.99"/>
    <n v="2.61"/>
    <n v="7.0000000000000007E-2"/>
    <n v="0.08"/>
    <n v="2"/>
    <n v="7"/>
    <n v="0.50428571428571423"/>
    <n v="3.53"/>
    <n v="7.67"/>
    <n v="2.0720000000000001"/>
    <n v="0.31517857142857142"/>
    <n v="0.31517857142857142"/>
  </r>
  <r>
    <x v="17"/>
    <s v="January"/>
    <n v="3"/>
    <s v="Saturday"/>
    <n v="2"/>
    <n v="5.77"/>
    <n v="1.2"/>
    <n v="3.49"/>
    <n v="0.83"/>
    <n v="1.97"/>
    <n v="0.87"/>
    <n v="7"/>
    <n v="5"/>
    <n v="0.81400000000000006"/>
    <n v="4.07"/>
    <n v="6.29"/>
    <n v="2.339"/>
    <n v="0.3928571428571429"/>
    <n v="0.3928571428571429"/>
  </r>
  <r>
    <x v="18"/>
    <s v="January"/>
    <n v="3"/>
    <s v="Sunday"/>
    <n v="4.22"/>
    <n v="7.33"/>
    <n v="1"/>
    <n v="4.57"/>
    <n v="1.95"/>
    <n v="0.33"/>
    <n v="1.88"/>
    <n v="1"/>
    <n v="5"/>
    <n v="1"/>
    <n v="7.1"/>
    <n v="6.8500000000000005"/>
    <n v="3.4349999999999996"/>
    <n v="0.50896057347670254"/>
    <n v="0.50896057347670254"/>
  </r>
  <r>
    <x v="19"/>
    <s v="January"/>
    <n v="4"/>
    <s v="Monday"/>
    <n v="1.92"/>
    <n v="8.5"/>
    <n v="0.25"/>
    <n v="3.64"/>
    <n v="1.45"/>
    <n v="1.29"/>
    <n v="0.8"/>
    <n v="9"/>
    <n v="7"/>
    <n v="0.42428571428571427"/>
    <n v="2.9699999999999998"/>
    <n v="6.38"/>
    <n v="2.8589999999999995"/>
    <n v="0.31764705882352939"/>
    <n v="0.31764705882352939"/>
  </r>
  <r>
    <x v="20"/>
    <s v="January"/>
    <n v="4"/>
    <s v="Tuesday"/>
    <n v="3.89"/>
    <n v="5.89"/>
    <n v="1.1100000000000001"/>
    <n v="3.85"/>
    <n v="2.61"/>
    <n v="0.49"/>
    <n v="0.28000000000000003"/>
    <n v="2"/>
    <n v="7"/>
    <n v="0.75428571428571434"/>
    <n v="5.28"/>
    <n v="6.95"/>
    <n v="2.899"/>
    <n v="0.43172526573998365"/>
    <n v="0.43172526573998365"/>
  </r>
  <r>
    <x v="21"/>
    <s v="January"/>
    <n v="4"/>
    <s v="Wednesday"/>
    <n v="4.63"/>
    <n v="6.96"/>
    <n v="1.89"/>
    <n v="3.06"/>
    <n v="2.5299999999999998"/>
    <n v="0.71"/>
    <n v="1.77"/>
    <n v="8"/>
    <n v="7"/>
    <n v="1"/>
    <n v="8.2900000000000009"/>
    <n v="6.3"/>
    <n v="3.7590000000000003"/>
    <n v="0.56819739547635373"/>
    <n v="0.56819739547635373"/>
  </r>
  <r>
    <x v="22"/>
    <s v="January"/>
    <n v="4"/>
    <s v="Thursday"/>
    <n v="4.92"/>
    <n v="8.73"/>
    <n v="1.1499999999999999"/>
    <n v="3.37"/>
    <n v="0.89"/>
    <n v="0.37"/>
    <n v="1.36"/>
    <n v="7"/>
    <n v="7"/>
    <n v="1"/>
    <n v="7.43"/>
    <n v="4.63"/>
    <n v="4.391"/>
    <n v="0.61608623548922059"/>
    <n v="0.61608623548922059"/>
  </r>
  <r>
    <x v="23"/>
    <s v="January"/>
    <n v="4"/>
    <s v="Friday"/>
    <n v="2.02"/>
    <n v="6.83"/>
    <n v="1.66"/>
    <n v="3.31"/>
    <n v="2.2799999999999998"/>
    <n v="0.68"/>
    <n v="1.87"/>
    <n v="1"/>
    <n v="7"/>
    <n v="0.79285714285714282"/>
    <n v="5.55"/>
    <n v="6.27"/>
    <n v="2.63"/>
    <n v="0.46954314720812179"/>
    <n v="0.46954314720812179"/>
  </r>
  <r>
    <x v="24"/>
    <s v="January"/>
    <n v="4"/>
    <s v="Saturday"/>
    <n v="4.01"/>
    <n v="6.15"/>
    <n v="0.02"/>
    <n v="1.43"/>
    <n v="1.29"/>
    <n v="1.5"/>
    <n v="0.92"/>
    <n v="8"/>
    <n v="5"/>
    <n v="0.98999999999999988"/>
    <n v="4.9499999999999993"/>
    <n v="4.22"/>
    <n v="3.181"/>
    <n v="0.53980370774263908"/>
    <n v="0.53980370774263908"/>
  </r>
  <r>
    <x v="25"/>
    <s v="January"/>
    <n v="4"/>
    <s v="Sunday"/>
    <n v="2.58"/>
    <n v="8.25"/>
    <n v="1.1399999999999999"/>
    <n v="3.9"/>
    <n v="0.54"/>
    <n v="0.11"/>
    <n v="1.91"/>
    <n v="2"/>
    <n v="5"/>
    <n v="1"/>
    <n v="5.63"/>
    <n v="4.55"/>
    <n v="3.2910000000000004"/>
    <n v="0.55304518664047153"/>
    <n v="0.55304518664047153"/>
  </r>
  <r>
    <x v="26"/>
    <s v="January"/>
    <n v="5"/>
    <s v="Monday"/>
    <n v="5.95"/>
    <n v="5.48"/>
    <n v="0.09"/>
    <n v="3.97"/>
    <n v="1.7"/>
    <n v="0.79"/>
    <n v="1.77"/>
    <n v="4"/>
    <n v="7"/>
    <n v="1"/>
    <n v="7.8100000000000005"/>
    <n v="6.46"/>
    <n v="3.4750000000000005"/>
    <n v="0.54730203223545904"/>
    <n v="0.54730203223545904"/>
  </r>
  <r>
    <x v="27"/>
    <s v="January"/>
    <n v="5"/>
    <s v="Tuesday"/>
    <n v="3.13"/>
    <n v="8.69"/>
    <n v="0.12"/>
    <n v="2.54"/>
    <n v="2.79"/>
    <n v="1.68"/>
    <n v="0.11"/>
    <n v="8"/>
    <n v="7"/>
    <n v="0.48"/>
    <n v="3.36"/>
    <n v="7.01"/>
    <n v="3.35"/>
    <n v="0.32401157184185153"/>
    <n v="0.32401157184185153"/>
  </r>
  <r>
    <x v="28"/>
    <s v="January"/>
    <n v="5"/>
    <s v="Wednesday"/>
    <n v="5.08"/>
    <n v="8.42"/>
    <n v="1.1299999999999999"/>
    <n v="4.37"/>
    <n v="2.86"/>
    <n v="0.03"/>
    <n v="1.58"/>
    <n v="10"/>
    <n v="7"/>
    <n v="1"/>
    <n v="7.79"/>
    <n v="7.2600000000000007"/>
    <n v="4.0609999999999999"/>
    <n v="0.51760797342192688"/>
    <n v="0.51760797342192688"/>
  </r>
  <r>
    <x v="29"/>
    <s v="January"/>
    <n v="5"/>
    <s v="Thursday"/>
    <n v="1.2"/>
    <n v="5.78"/>
    <n v="1.34"/>
    <n v="4.71"/>
    <n v="1.59"/>
    <n v="0.42"/>
    <n v="1.08"/>
    <n v="8"/>
    <n v="7"/>
    <n v="0.51714285714285713"/>
    <n v="3.62"/>
    <n v="6.72"/>
    <n v="1.8520000000000001"/>
    <n v="0.3500967117988395"/>
    <n v="0.3500967117988395"/>
  </r>
  <r>
    <x v="30"/>
    <s v="January"/>
    <n v="5"/>
    <s v="Friday"/>
    <n v="4.3"/>
    <n v="6.26"/>
    <n v="0.87"/>
    <n v="3.92"/>
    <n v="2.81"/>
    <n v="7.0000000000000007E-2"/>
    <n v="0.66"/>
    <n v="5"/>
    <n v="7"/>
    <n v="0.83285714285714285"/>
    <n v="5.83"/>
    <n v="6.8000000000000007"/>
    <n v="3.0989999999999998"/>
    <n v="0.46159936658749007"/>
    <n v="0.46159936658749007"/>
  </r>
  <r>
    <x v="31"/>
    <s v="February"/>
    <n v="5"/>
    <s v="Saturday"/>
    <n v="4.6100000000000003"/>
    <n v="8.25"/>
    <n v="0.7"/>
    <n v="2.2999999999999998"/>
    <n v="2.76"/>
    <n v="1.6"/>
    <n v="1.71"/>
    <n v="8"/>
    <n v="5"/>
    <n v="1"/>
    <n v="7.0200000000000005"/>
    <n v="6.66"/>
    <n v="3.9530000000000003"/>
    <n v="0.51315789473684215"/>
    <n v="0.51315789473684215"/>
  </r>
  <r>
    <x v="32"/>
    <s v="February"/>
    <n v="5"/>
    <s v="Sunday"/>
    <n v="3.85"/>
    <n v="7.18"/>
    <n v="1.82"/>
    <n v="1.93"/>
    <n v="0.21"/>
    <n v="1.95"/>
    <n v="0.69"/>
    <n v="5"/>
    <n v="5"/>
    <n v="1"/>
    <n v="6.36"/>
    <n v="4.09"/>
    <n v="3.8439999999999999"/>
    <n v="0.6086124401913876"/>
    <n v="0.6086124401913876"/>
  </r>
  <r>
    <x v="33"/>
    <s v="February"/>
    <n v="6"/>
    <s v="Monday"/>
    <n v="5.8"/>
    <n v="6.98"/>
    <n v="1.71"/>
    <n v="3.32"/>
    <n v="2.37"/>
    <n v="0.25"/>
    <n v="0.92"/>
    <n v="1"/>
    <n v="7"/>
    <n v="1"/>
    <n v="8.43"/>
    <n v="5.9399999999999995"/>
    <n v="4.1869999999999994"/>
    <n v="0.58663883089770352"/>
    <n v="0.58663883089770352"/>
  </r>
  <r>
    <x v="34"/>
    <s v="February"/>
    <n v="6"/>
    <s v="Tuesday"/>
    <n v="4.21"/>
    <n v="8.56"/>
    <n v="1.96"/>
    <n v="4.37"/>
    <n v="1.38"/>
    <n v="0.86"/>
    <n v="0.16"/>
    <n v="10"/>
    <n v="7"/>
    <n v="0.90428571428571425"/>
    <n v="6.33"/>
    <n v="6.61"/>
    <n v="4.0690000000000008"/>
    <n v="0.48918083462132916"/>
    <n v="0.48918083462132916"/>
  </r>
  <r>
    <x v="35"/>
    <s v="February"/>
    <n v="6"/>
    <s v="Wednesday"/>
    <n v="3"/>
    <n v="6.13"/>
    <n v="1.72"/>
    <n v="4.2699999999999996"/>
    <n v="1.25"/>
    <n v="0.81"/>
    <n v="1.34"/>
    <n v="8"/>
    <n v="7"/>
    <n v="0.86571428571428566"/>
    <n v="6.06"/>
    <n v="6.33"/>
    <n v="2.831"/>
    <n v="0.48910411622276023"/>
    <n v="0.48910411622276023"/>
  </r>
  <r>
    <x v="36"/>
    <s v="February"/>
    <n v="6"/>
    <s v="Thursday"/>
    <n v="2.81"/>
    <n v="8.0399999999999991"/>
    <n v="1.92"/>
    <n v="1.89"/>
    <n v="1.1599999999999999"/>
    <n v="0.47"/>
    <n v="0.83"/>
    <n v="3"/>
    <n v="7"/>
    <n v="0.79428571428571437"/>
    <n v="5.5600000000000005"/>
    <n v="3.5199999999999996"/>
    <n v="3.6149999999999993"/>
    <n v="0.61233480176211463"/>
    <n v="0.61233480176211463"/>
  </r>
  <r>
    <x v="37"/>
    <s v="February"/>
    <n v="6"/>
    <s v="Friday"/>
    <n v="3.98"/>
    <n v="6.97"/>
    <n v="1.06"/>
    <n v="1.9"/>
    <n v="0.36"/>
    <n v="0.35"/>
    <n v="1.42"/>
    <n v="3"/>
    <n v="7"/>
    <n v="0.92285714285714293"/>
    <n v="6.4600000000000009"/>
    <n v="2.61"/>
    <n v="3.669"/>
    <n v="0.71223814773980165"/>
    <n v="0.71223814773980165"/>
  </r>
  <r>
    <x v="38"/>
    <s v="February"/>
    <n v="6"/>
    <s v="Saturday"/>
    <n v="3.22"/>
    <n v="5.34"/>
    <n v="0.38"/>
    <n v="4.2300000000000004"/>
    <n v="1.58"/>
    <n v="0.64"/>
    <n v="0.26"/>
    <n v="2"/>
    <n v="5"/>
    <n v="0.77200000000000002"/>
    <n v="3.8600000000000003"/>
    <n v="6.45"/>
    <n v="2.3850000000000002"/>
    <n v="0.37439379243452958"/>
    <n v="0.37439379243452958"/>
  </r>
  <r>
    <x v="39"/>
    <s v="February"/>
    <n v="6"/>
    <s v="Sunday"/>
    <n v="5.69"/>
    <n v="7.8"/>
    <n v="0.51"/>
    <n v="2.31"/>
    <n v="2.11"/>
    <n v="0.49"/>
    <n v="1.19"/>
    <n v="6"/>
    <n v="5"/>
    <n v="1"/>
    <n v="7.3900000000000006"/>
    <n v="4.91"/>
    <n v="4.2759999999999998"/>
    <n v="0.60081300813008132"/>
    <n v="0.60081300813008132"/>
  </r>
  <r>
    <x v="40"/>
    <s v="February"/>
    <n v="7"/>
    <s v="Monday"/>
    <n v="3.36"/>
    <n v="5.58"/>
    <n v="1.94"/>
    <n v="4.7699999999999996"/>
    <n v="1.44"/>
    <n v="0.89"/>
    <n v="0.45"/>
    <n v="4"/>
    <n v="7"/>
    <n v="0.8214285714285714"/>
    <n v="5.75"/>
    <n v="7.0999999999999988"/>
    <n v="2.7849999999999997"/>
    <n v="0.44747081712062264"/>
    <n v="0.44747081712062264"/>
  </r>
  <r>
    <x v="41"/>
    <s v="February"/>
    <n v="7"/>
    <s v="Tuesday"/>
    <n v="3.68"/>
    <n v="6.77"/>
    <n v="1.96"/>
    <n v="3.32"/>
    <n v="2.39"/>
    <n v="0.08"/>
    <n v="0.78"/>
    <n v="4"/>
    <n v="7"/>
    <n v="0.91714285714285715"/>
    <n v="6.42"/>
    <n v="5.79"/>
    <n v="3.3239999999999998"/>
    <n v="0.52579852579852571"/>
    <n v="0.52579852579852571"/>
  </r>
  <r>
    <x v="42"/>
    <s v="February"/>
    <n v="7"/>
    <s v="Wednesday"/>
    <n v="3.08"/>
    <n v="5.99"/>
    <n v="0.11"/>
    <n v="4.66"/>
    <n v="0.25"/>
    <n v="1.71"/>
    <n v="1.83"/>
    <n v="9"/>
    <n v="7"/>
    <n v="0.71714285714285719"/>
    <n v="5.0200000000000005"/>
    <n v="6.62"/>
    <n v="2.5599999999999996"/>
    <n v="0.43127147766323026"/>
    <n v="0.43127147766323026"/>
  </r>
  <r>
    <x v="43"/>
    <s v="February"/>
    <n v="7"/>
    <s v="Thursday"/>
    <n v="4.5599999999999996"/>
    <n v="6.25"/>
    <n v="0.9"/>
    <n v="4.76"/>
    <n v="2.68"/>
    <n v="0.28999999999999998"/>
    <n v="1.18"/>
    <n v="1"/>
    <n v="7"/>
    <n v="0.94857142857142851"/>
    <n v="6.64"/>
    <n v="7.7299999999999995"/>
    <n v="3.1349999999999998"/>
    <n v="0.46207376478775225"/>
    <n v="0.46207376478775225"/>
  </r>
  <r>
    <x v="44"/>
    <s v="February"/>
    <n v="7"/>
    <s v="Friday"/>
    <n v="4.33"/>
    <n v="8.51"/>
    <n v="0.59"/>
    <n v="4.68"/>
    <n v="1.75"/>
    <n v="0.92"/>
    <n v="1.35"/>
    <n v="5"/>
    <n v="7"/>
    <n v="0.89571428571428569"/>
    <n v="6.27"/>
    <n v="7.35"/>
    <n v="3.7600000000000007"/>
    <n v="0.46035242290748896"/>
    <n v="0.46035242290748896"/>
  </r>
  <r>
    <x v="45"/>
    <s v="February"/>
    <n v="7"/>
    <s v="Saturday"/>
    <n v="1.28"/>
    <n v="5.68"/>
    <n v="1.44"/>
    <n v="3.23"/>
    <n v="1.84"/>
    <n v="0.3"/>
    <n v="1.75"/>
    <n v="5"/>
    <n v="5"/>
    <n v="0.89400000000000013"/>
    <n v="4.4700000000000006"/>
    <n v="5.37"/>
    <n v="1.9969999999999999"/>
    <n v="0.4542682926829269"/>
    <n v="0.4542682926829269"/>
  </r>
  <r>
    <x v="46"/>
    <s v="February"/>
    <n v="7"/>
    <s v="Sunday"/>
    <n v="4.72"/>
    <n v="8.11"/>
    <n v="0.54"/>
    <n v="4.46"/>
    <n v="0.34"/>
    <n v="0.86"/>
    <n v="1.01"/>
    <n v="1"/>
    <n v="5"/>
    <n v="1"/>
    <n v="6.27"/>
    <n v="5.66"/>
    <n v="3.9489999999999994"/>
    <n v="0.52556580050293378"/>
    <n v="0.52556580050293378"/>
  </r>
  <r>
    <x v="47"/>
    <s v="February"/>
    <n v="8"/>
    <s v="Monday"/>
    <n v="4.97"/>
    <n v="5.14"/>
    <n v="1.99"/>
    <n v="4.76"/>
    <n v="2.0299999999999998"/>
    <n v="1.29"/>
    <n v="0.98"/>
    <n v="5"/>
    <n v="7"/>
    <n v="1"/>
    <n v="7.9399999999999995"/>
    <n v="8.0799999999999983"/>
    <n v="3.2490000000000001"/>
    <n v="0.49563046192259685"/>
    <n v="0.49563046192259685"/>
  </r>
  <r>
    <x v="48"/>
    <s v="February"/>
    <n v="8"/>
    <s v="Tuesday"/>
    <n v="1.42"/>
    <n v="5.12"/>
    <n v="1.06"/>
    <n v="2.69"/>
    <n v="0.65"/>
    <n v="1.85"/>
    <n v="1.61"/>
    <n v="3"/>
    <n v="7"/>
    <n v="0.5842857142857143"/>
    <n v="4.09"/>
    <n v="5.1899999999999995"/>
    <n v="1.9820000000000002"/>
    <n v="0.44073275862068967"/>
    <n v="0.44073275862068967"/>
  </r>
  <r>
    <x v="49"/>
    <s v="February"/>
    <n v="8"/>
    <s v="Wednesday"/>
    <n v="2.15"/>
    <n v="8.34"/>
    <n v="1.92"/>
    <n v="1.46"/>
    <n v="0.27"/>
    <n v="0.61"/>
    <n v="0.41"/>
    <n v="7"/>
    <n v="7"/>
    <n v="0.64"/>
    <n v="4.4800000000000004"/>
    <n v="2.34"/>
    <n v="3.5729999999999995"/>
    <n v="0.6568914956011731"/>
    <n v="0.6568914956011731"/>
  </r>
  <r>
    <x v="50"/>
    <s v="February"/>
    <n v="8"/>
    <s v="Thursday"/>
    <n v="1.1000000000000001"/>
    <n v="5.65"/>
    <n v="1.59"/>
    <n v="1.72"/>
    <n v="0.04"/>
    <n v="0.59"/>
    <n v="1.34"/>
    <n v="7"/>
    <n v="7"/>
    <n v="0.57571428571428573"/>
    <n v="4.03"/>
    <n v="2.35"/>
    <n v="2.2770000000000001"/>
    <n v="0.6316614420062695"/>
    <n v="0.6316614420062695"/>
  </r>
  <r>
    <x v="51"/>
    <s v="February"/>
    <n v="8"/>
    <s v="Friday"/>
    <n v="3.45"/>
    <n v="5.33"/>
    <n v="1.01"/>
    <n v="3.95"/>
    <n v="0.9"/>
    <n v="0.5"/>
    <n v="1.76"/>
    <n v="8"/>
    <n v="7"/>
    <n v="0.88857142857142857"/>
    <n v="6.22"/>
    <n v="5.3500000000000005"/>
    <n v="2.6960000000000002"/>
    <n v="0.53759723422644767"/>
    <n v="0.53759723422644767"/>
  </r>
  <r>
    <x v="52"/>
    <s v="February"/>
    <n v="8"/>
    <s v="Saturday"/>
    <n v="2.1800000000000002"/>
    <n v="7.39"/>
    <n v="1.05"/>
    <n v="3.27"/>
    <n v="2.2599999999999998"/>
    <n v="0.14000000000000001"/>
    <n v="1.17"/>
    <n v="2"/>
    <n v="5"/>
    <n v="0.88000000000000012"/>
    <n v="4.4000000000000004"/>
    <n v="5.669999999999999"/>
    <n v="2.7459999999999996"/>
    <n v="0.43694141012909637"/>
    <n v="0.43694141012909637"/>
  </r>
  <r>
    <x v="53"/>
    <s v="February"/>
    <n v="8"/>
    <s v="Sunday"/>
    <n v="2.5299999999999998"/>
    <n v="5.4"/>
    <n v="0.88"/>
    <n v="4.54"/>
    <n v="0.13"/>
    <n v="1.84"/>
    <n v="1.58"/>
    <n v="7"/>
    <n v="5"/>
    <n v="0.99799999999999989"/>
    <n v="4.9899999999999993"/>
    <n v="6.51"/>
    <n v="2.3410000000000002"/>
    <n v="0.43391304347826082"/>
    <n v="0.43391304347826082"/>
  </r>
  <r>
    <x v="54"/>
    <s v="February"/>
    <n v="9"/>
    <s v="Monday"/>
    <n v="3.27"/>
    <n v="8.11"/>
    <n v="1.73"/>
    <n v="2.34"/>
    <n v="1.59"/>
    <n v="0.61"/>
    <n v="0.2"/>
    <n v="3"/>
    <n v="7"/>
    <n v="0.74285714285714288"/>
    <n v="5.2"/>
    <n v="4.54"/>
    <n v="3.694"/>
    <n v="0.53388090349075978"/>
    <n v="0.53388090349075978"/>
  </r>
  <r>
    <x v="55"/>
    <s v="February"/>
    <n v="9"/>
    <s v="Tuesday"/>
    <n v="2.4700000000000002"/>
    <n v="8.67"/>
    <n v="1.4"/>
    <n v="1.65"/>
    <n v="0.04"/>
    <n v="0.62"/>
    <n v="0.95"/>
    <n v="8"/>
    <n v="7"/>
    <n v="0.68857142857142861"/>
    <n v="4.82"/>
    <n v="2.31"/>
    <n v="3.6999999999999997"/>
    <n v="0.67601683029453008"/>
    <n v="0.67601683029453008"/>
  </r>
  <r>
    <x v="56"/>
    <s v="February"/>
    <n v="9"/>
    <s v="Wednesday"/>
    <n v="4.29"/>
    <n v="6.54"/>
    <n v="1.26"/>
    <n v="3.16"/>
    <n v="2.0299999999999998"/>
    <n v="0.59"/>
    <n v="1.2"/>
    <n v="5"/>
    <n v="7"/>
    <n v="0.9642857142857143"/>
    <n v="6.75"/>
    <n v="5.7799999999999994"/>
    <n v="3.4109999999999996"/>
    <n v="0.53870710295291302"/>
    <n v="0.53870710295291302"/>
  </r>
  <r>
    <x v="57"/>
    <s v="February"/>
    <n v="9"/>
    <s v="Thursday"/>
    <n v="4.9000000000000004"/>
    <n v="6.03"/>
    <n v="1.33"/>
    <n v="2.4300000000000002"/>
    <n v="1.31"/>
    <n v="0.12"/>
    <n v="1.82"/>
    <n v="2"/>
    <n v="7"/>
    <n v="1"/>
    <n v="8.0500000000000007"/>
    <n v="3.8600000000000003"/>
    <n v="3.661"/>
    <n v="0.67590260285474402"/>
    <n v="0.67590260285474402"/>
  </r>
  <r>
    <x v="58"/>
    <s v="February"/>
    <n v="9"/>
    <s v="Friday"/>
    <n v="1.43"/>
    <n v="6.04"/>
    <n v="0.25"/>
    <n v="1.76"/>
    <n v="2.0099999999999998"/>
    <n v="0.81"/>
    <n v="1.72"/>
    <n v="7"/>
    <n v="7"/>
    <n v="0.48571428571428571"/>
    <n v="3.4"/>
    <n v="4.58"/>
    <n v="2.0569999999999995"/>
    <n v="0.42606516290726815"/>
    <n v="0.42606516290726815"/>
  </r>
  <r>
    <x v="59"/>
    <s v="March"/>
    <n v="9"/>
    <s v="Saturday"/>
    <n v="5.75"/>
    <n v="6.62"/>
    <n v="0.13"/>
    <n v="3.12"/>
    <n v="1.83"/>
    <n v="1.41"/>
    <n v="1.74"/>
    <n v="3"/>
    <n v="5"/>
    <n v="1"/>
    <n v="7.62"/>
    <n v="6.36"/>
    <n v="3.8170000000000002"/>
    <n v="0.54506437768240346"/>
    <n v="0.54506437768240346"/>
  </r>
  <r>
    <x v="60"/>
    <s v="March"/>
    <n v="9"/>
    <s v="Sunday"/>
    <n v="1.23"/>
    <n v="8.57"/>
    <n v="1.38"/>
    <n v="4.3600000000000003"/>
    <n v="2.0699999999999998"/>
    <n v="1.1599999999999999"/>
    <n v="1.47"/>
    <n v="10"/>
    <n v="5"/>
    <n v="0.81600000000000006"/>
    <n v="4.08"/>
    <n v="7.59"/>
    <n v="2.6959999999999997"/>
    <n v="0.34961439588688947"/>
    <n v="0.34961439588688947"/>
  </r>
  <r>
    <x v="61"/>
    <s v="March"/>
    <n v="10"/>
    <s v="Monday"/>
    <n v="3.68"/>
    <n v="5.18"/>
    <n v="0.05"/>
    <n v="1.04"/>
    <n v="0.42"/>
    <n v="1.41"/>
    <n v="1.62"/>
    <n v="9"/>
    <n v="7"/>
    <n v="0.76428571428571435"/>
    <n v="5.3500000000000005"/>
    <n v="2.87"/>
    <n v="2.8899999999999997"/>
    <n v="0.65085158150851585"/>
    <n v="0.65085158150851585"/>
  </r>
  <r>
    <x v="62"/>
    <s v="March"/>
    <n v="10"/>
    <s v="Tuesday"/>
    <n v="4.46"/>
    <n v="5.28"/>
    <n v="1.19"/>
    <n v="3.72"/>
    <n v="2.2000000000000002"/>
    <n v="0.84"/>
    <n v="0.78"/>
    <n v="7"/>
    <n v="7"/>
    <n v="0.91857142857142848"/>
    <n v="6.43"/>
    <n v="6.76"/>
    <n v="3.0140000000000002"/>
    <n v="0.48749052312357849"/>
    <n v="0.48749052312357849"/>
  </r>
  <r>
    <x v="63"/>
    <s v="March"/>
    <n v="10"/>
    <s v="Wednesday"/>
    <n v="4.87"/>
    <n v="6.91"/>
    <n v="0.64"/>
    <n v="3.52"/>
    <n v="0.25"/>
    <n v="1.69"/>
    <n v="0.4"/>
    <n v="9"/>
    <n v="7"/>
    <n v="0.84428571428571431"/>
    <n v="5.91"/>
    <n v="5.46"/>
    <n v="3.7719999999999998"/>
    <n v="0.51978891820580475"/>
    <n v="0.51978891820580475"/>
  </r>
  <r>
    <x v="64"/>
    <s v="March"/>
    <n v="10"/>
    <s v="Thursday"/>
    <n v="2.17"/>
    <n v="6.98"/>
    <n v="0.76"/>
    <n v="2.62"/>
    <n v="1.94"/>
    <n v="0.49"/>
    <n v="0.03"/>
    <n v="6"/>
    <n v="7"/>
    <n v="0.42285714285714288"/>
    <n v="2.96"/>
    <n v="5.0500000000000007"/>
    <n v="2.6579999999999999"/>
    <n v="0.36953807740324585"/>
    <n v="0.36953807740324585"/>
  </r>
  <r>
    <x v="65"/>
    <s v="March"/>
    <n v="10"/>
    <s v="Friday"/>
    <n v="3.33"/>
    <n v="5.27"/>
    <n v="1.82"/>
    <n v="4.96"/>
    <n v="0.51"/>
    <n v="0.27"/>
    <n v="0.84"/>
    <n v="8"/>
    <n v="7"/>
    <n v="0.85571428571428576"/>
    <n v="5.99"/>
    <n v="5.74"/>
    <n v="2.7299999999999995"/>
    <n v="0.51065643648763859"/>
    <n v="0.51065643648763859"/>
  </r>
  <r>
    <x v="66"/>
    <s v="March"/>
    <n v="10"/>
    <s v="Saturday"/>
    <n v="2.33"/>
    <n v="5.27"/>
    <n v="1.26"/>
    <n v="3.19"/>
    <n v="2.09"/>
    <n v="0.23"/>
    <n v="1.51"/>
    <n v="5"/>
    <n v="5"/>
    <n v="1"/>
    <n v="5.0999999999999996"/>
    <n v="5.51"/>
    <n v="2.2369999999999997"/>
    <n v="0.48067860508953819"/>
    <n v="0.48067860508953819"/>
  </r>
  <r>
    <x v="67"/>
    <s v="March"/>
    <n v="10"/>
    <s v="Sunday"/>
    <n v="1.21"/>
    <n v="7.6"/>
    <n v="0.34"/>
    <n v="3.01"/>
    <n v="2.36"/>
    <n v="0.91"/>
    <n v="1.94"/>
    <n v="9"/>
    <n v="5"/>
    <n v="0.69799999999999995"/>
    <n v="3.4899999999999998"/>
    <n v="6.2799999999999994"/>
    <n v="2.2949999999999999"/>
    <n v="0.35721596724667348"/>
    <n v="0.35721596724667348"/>
  </r>
  <r>
    <x v="68"/>
    <s v="March"/>
    <n v="11"/>
    <s v="Monday"/>
    <n v="2.75"/>
    <n v="6.39"/>
    <n v="0.15"/>
    <n v="4.33"/>
    <n v="0.32"/>
    <n v="1.24"/>
    <n v="0.03"/>
    <n v="8"/>
    <n v="7"/>
    <n v="0.41857142857142854"/>
    <n v="2.9299999999999997"/>
    <n v="5.8900000000000006"/>
    <n v="2.5819999999999999"/>
    <n v="0.33219954648526073"/>
    <n v="0.33219954648526073"/>
  </r>
  <r>
    <x v="69"/>
    <s v="March"/>
    <n v="11"/>
    <s v="Tuesday"/>
    <n v="2.2799999999999998"/>
    <n v="8.76"/>
    <n v="0.56999999999999995"/>
    <n v="1.67"/>
    <n v="1.62"/>
    <n v="1.21"/>
    <n v="0.31"/>
    <n v="5"/>
    <n v="7"/>
    <n v="0.4514285714285714"/>
    <n v="3.1599999999999997"/>
    <n v="4.5"/>
    <n v="3.3249999999999993"/>
    <n v="0.41253263707571797"/>
    <n v="0.41253263707571797"/>
  </r>
  <r>
    <x v="70"/>
    <s v="March"/>
    <n v="11"/>
    <s v="Wednesday"/>
    <n v="3.79"/>
    <n v="5.58"/>
    <n v="0.88"/>
    <n v="4.2699999999999996"/>
    <n v="1.01"/>
    <n v="0.08"/>
    <n v="0.64"/>
    <n v="10"/>
    <n v="7"/>
    <n v="0.75857142857142856"/>
    <n v="5.31"/>
    <n v="5.3599999999999994"/>
    <n v="2.8380000000000001"/>
    <n v="0.4976569821930647"/>
    <n v="0.4976569821930647"/>
  </r>
  <r>
    <x v="71"/>
    <s v="March"/>
    <n v="11"/>
    <s v="Thursday"/>
    <n v="2.31"/>
    <n v="5.64"/>
    <n v="2"/>
    <n v="2.36"/>
    <n v="1.36"/>
    <n v="1.1399999999999999"/>
    <n v="0.59"/>
    <n v="8"/>
    <n v="7"/>
    <n v="0.70000000000000007"/>
    <n v="4.9000000000000004"/>
    <n v="4.8599999999999994"/>
    <n v="2.6440000000000001"/>
    <n v="0.50204918032786894"/>
    <n v="0.50204918032786894"/>
  </r>
  <r>
    <x v="72"/>
    <s v="March"/>
    <n v="11"/>
    <s v="Friday"/>
    <n v="4.58"/>
    <n v="6.8"/>
    <n v="1.9"/>
    <n v="4.76"/>
    <n v="1.57"/>
    <n v="0.13"/>
    <n v="1.26"/>
    <n v="10"/>
    <n v="7"/>
    <n v="1"/>
    <n v="7.74"/>
    <n v="6.46"/>
    <n v="3.6189999999999998"/>
    <n v="0.54507042253521132"/>
    <n v="0.54507042253521132"/>
  </r>
  <r>
    <x v="73"/>
    <s v="March"/>
    <n v="11"/>
    <s v="Saturday"/>
    <n v="1.64"/>
    <n v="5.32"/>
    <n v="0.03"/>
    <n v="3.44"/>
    <n v="2.77"/>
    <n v="0.6"/>
    <n v="1.49"/>
    <n v="7"/>
    <n v="5"/>
    <n v="0.6319999999999999"/>
    <n v="3.1599999999999997"/>
    <n v="6.81"/>
    <n v="1.637"/>
    <n v="0.31695085255767302"/>
    <n v="0.31695085255767302"/>
  </r>
  <r>
    <x v="74"/>
    <s v="March"/>
    <n v="11"/>
    <s v="Sunday"/>
    <n v="1.55"/>
    <n v="6.02"/>
    <n v="1.94"/>
    <n v="2.4"/>
    <n v="2.5"/>
    <n v="0.4"/>
    <n v="0.45"/>
    <n v="1"/>
    <n v="5"/>
    <n v="0.78800000000000003"/>
    <n v="3.94"/>
    <n v="5.3000000000000007"/>
    <n v="2.3239999999999998"/>
    <n v="0.4264069264069264"/>
    <n v="0.4264069264069264"/>
  </r>
  <r>
    <x v="75"/>
    <s v="March"/>
    <n v="12"/>
    <s v="Monday"/>
    <n v="3.01"/>
    <n v="6.94"/>
    <n v="1.64"/>
    <n v="3.58"/>
    <n v="2.0099999999999998"/>
    <n v="0.09"/>
    <n v="0.26"/>
    <n v="2"/>
    <n v="7"/>
    <n v="0.70142857142857129"/>
    <n v="4.9099999999999993"/>
    <n v="5.68"/>
    <n v="3.0549999999999993"/>
    <n v="0.46364494806421147"/>
    <n v="0.46364494806421147"/>
  </r>
  <r>
    <x v="76"/>
    <s v="March"/>
    <n v="12"/>
    <s v="Tuesday"/>
    <n v="3.09"/>
    <n v="6.21"/>
    <n v="0.7"/>
    <n v="3.04"/>
    <n v="1.35"/>
    <n v="1.53"/>
    <n v="1.04"/>
    <n v="1"/>
    <n v="7"/>
    <n v="0.69000000000000006"/>
    <n v="4.83"/>
    <n v="5.9200000000000008"/>
    <n v="2.8000000000000003"/>
    <n v="0.44930232558139538"/>
    <n v="0.44930232558139538"/>
  </r>
  <r>
    <x v="77"/>
    <s v="March"/>
    <n v="12"/>
    <s v="Wednesday"/>
    <n v="4.03"/>
    <n v="6.81"/>
    <n v="1.26"/>
    <n v="1.68"/>
    <n v="2.98"/>
    <n v="1.26"/>
    <n v="1.35"/>
    <n v="8"/>
    <n v="7"/>
    <n v="0.94857142857142862"/>
    <n v="6.6400000000000006"/>
    <n v="5.92"/>
    <n v="3.4409999999999998"/>
    <n v="0.5286624203821656"/>
    <n v="0.5286624203821656"/>
  </r>
  <r>
    <x v="78"/>
    <s v="March"/>
    <n v="12"/>
    <s v="Thursday"/>
    <n v="3.84"/>
    <n v="6.76"/>
    <n v="0.72"/>
    <n v="4.71"/>
    <n v="1.41"/>
    <n v="0.56000000000000005"/>
    <n v="0.65"/>
    <n v="2"/>
    <n v="7"/>
    <n v="0.74428571428571433"/>
    <n v="5.21"/>
    <n v="6.68"/>
    <n v="3.0960000000000001"/>
    <n v="0.43818334735071485"/>
    <n v="0.43818334735071485"/>
  </r>
  <r>
    <x v="79"/>
    <s v="March"/>
    <n v="12"/>
    <s v="Friday"/>
    <n v="1.07"/>
    <n v="7.93"/>
    <n v="0.12"/>
    <n v="3.63"/>
    <n v="1.44"/>
    <n v="0.8"/>
    <n v="1.2"/>
    <n v="10"/>
    <n v="7"/>
    <n v="0.34142857142857147"/>
    <n v="2.39"/>
    <n v="5.87"/>
    <n v="2.3239999999999998"/>
    <n v="0.28934624697336564"/>
    <n v="0.28934624697336564"/>
  </r>
  <r>
    <x v="80"/>
    <s v="March"/>
    <n v="12"/>
    <s v="Saturday"/>
    <n v="3.6"/>
    <n v="7.87"/>
    <n v="0.88"/>
    <n v="1.33"/>
    <n v="2.73"/>
    <n v="1.04"/>
    <n v="0.18"/>
    <n v="4"/>
    <n v="5"/>
    <n v="0.93200000000000005"/>
    <n v="4.66"/>
    <n v="5.1000000000000005"/>
    <n v="3.5710000000000002"/>
    <n v="0.47745901639344257"/>
    <n v="0.47745901639344257"/>
  </r>
  <r>
    <x v="81"/>
    <s v="March"/>
    <n v="12"/>
    <s v="Sunday"/>
    <n v="3.59"/>
    <n v="5.49"/>
    <n v="0.13"/>
    <n v="2.06"/>
    <n v="1.27"/>
    <n v="1.78"/>
    <n v="0.7"/>
    <n v="9"/>
    <n v="5"/>
    <n v="0.88400000000000001"/>
    <n v="4.42"/>
    <n v="5.1100000000000003"/>
    <n v="2.7759999999999998"/>
    <n v="0.46379853095487927"/>
    <n v="0.46379853095487927"/>
  </r>
  <r>
    <x v="82"/>
    <s v="March"/>
    <n v="13"/>
    <s v="Monday"/>
    <n v="2.42"/>
    <n v="6.35"/>
    <n v="0.2"/>
    <n v="2.3199999999999998"/>
    <n v="2.39"/>
    <n v="0.35"/>
    <n v="0.92"/>
    <n v="7"/>
    <n v="7"/>
    <n v="0.50571428571428567"/>
    <n v="3.54"/>
    <n v="5.0599999999999996"/>
    <n v="2.4419999999999997"/>
    <n v="0.41162790697674423"/>
    <n v="0.41162790697674423"/>
  </r>
  <r>
    <x v="83"/>
    <s v="March"/>
    <n v="13"/>
    <s v="Tuesday"/>
    <n v="5.45"/>
    <n v="5.75"/>
    <n v="1.25"/>
    <n v="1.03"/>
    <n v="0.59"/>
    <n v="1.37"/>
    <n v="1.49"/>
    <n v="5"/>
    <n v="7"/>
    <n v="1"/>
    <n v="8.1900000000000013"/>
    <n v="2.99"/>
    <n v="3.9930000000000003"/>
    <n v="0.73255813953488369"/>
    <n v="0.73255813953488369"/>
  </r>
  <r>
    <x v="84"/>
    <s v="March"/>
    <n v="13"/>
    <s v="Wednesday"/>
    <n v="3.13"/>
    <n v="7.67"/>
    <n v="1.55"/>
    <n v="1.88"/>
    <n v="2.2799999999999998"/>
    <n v="1.5"/>
    <n v="0.16"/>
    <n v="9"/>
    <n v="7"/>
    <n v="0.69142857142857139"/>
    <n v="4.84"/>
    <n v="5.66"/>
    <n v="3.4470000000000001"/>
    <n v="0.46095238095238095"/>
    <n v="0.46095238095238095"/>
  </r>
  <r>
    <x v="85"/>
    <s v="March"/>
    <n v="13"/>
    <s v="Thursday"/>
    <n v="3.68"/>
    <n v="6.5"/>
    <n v="1.65"/>
    <n v="2.74"/>
    <n v="0.4"/>
    <n v="1.08"/>
    <n v="1.01"/>
    <n v="10"/>
    <n v="7"/>
    <n v="0.90571428571428569"/>
    <n v="6.34"/>
    <n v="4.2200000000000006"/>
    <n v="3.4380000000000002"/>
    <n v="0.60037878787878785"/>
    <n v="0.60037878787878785"/>
  </r>
  <r>
    <x v="86"/>
    <s v="March"/>
    <n v="13"/>
    <s v="Friday"/>
    <n v="4.88"/>
    <n v="8.24"/>
    <n v="1.1599999999999999"/>
    <n v="2.1800000000000002"/>
    <n v="2.44"/>
    <n v="0.69"/>
    <n v="0.47"/>
    <n v="10"/>
    <n v="7"/>
    <n v="0.92999999999999994"/>
    <n v="6.51"/>
    <n v="5.3100000000000005"/>
    <n v="4.194"/>
    <n v="0.55076142131979688"/>
    <n v="0.55076142131979688"/>
  </r>
  <r>
    <x v="87"/>
    <s v="March"/>
    <n v="13"/>
    <s v="Saturday"/>
    <n v="1.1200000000000001"/>
    <n v="8.91"/>
    <n v="1.38"/>
    <n v="4.91"/>
    <n v="0.18"/>
    <n v="0.99"/>
    <n v="0.82"/>
    <n v="2"/>
    <n v="5"/>
    <n v="0.66399999999999992"/>
    <n v="3.32"/>
    <n v="6.08"/>
    <n v="2.8879999999999999"/>
    <n v="0.35319148936170208"/>
    <n v="0.35319148936170208"/>
  </r>
  <r>
    <x v="88"/>
    <s v="March"/>
    <n v="13"/>
    <s v="Sunday"/>
    <n v="5.84"/>
    <n v="5.37"/>
    <n v="0.5"/>
    <n v="4.84"/>
    <n v="1.51"/>
    <n v="0.85"/>
    <n v="0.27"/>
    <n v="8"/>
    <n v="5"/>
    <n v="1"/>
    <n v="6.6099999999999994"/>
    <n v="7.1999999999999993"/>
    <n v="3.4119999999999999"/>
    <n v="0.47863866763215063"/>
    <n v="0.47863866763215063"/>
  </r>
  <r>
    <x v="89"/>
    <s v="March"/>
    <n v="14"/>
    <s v="Monday"/>
    <n v="2.4900000000000002"/>
    <n v="7.19"/>
    <n v="1.21"/>
    <n v="2.12"/>
    <n v="0.91"/>
    <n v="0.5"/>
    <n v="0.88"/>
    <n v="7"/>
    <n v="7"/>
    <n v="0.65428571428571425"/>
    <n v="4.58"/>
    <n v="3.5300000000000002"/>
    <n v="3.0920000000000001"/>
    <n v="0.56473489519112208"/>
    <n v="0.56473489519112208"/>
  </r>
  <r>
    <x v="90"/>
    <s v="April"/>
    <n v="14"/>
    <s v="Tuesday"/>
    <n v="1.97"/>
    <n v="7.42"/>
    <n v="1.27"/>
    <n v="1.43"/>
    <n v="1.84"/>
    <n v="0.19"/>
    <n v="0.15"/>
    <n v="10"/>
    <n v="7"/>
    <n v="0.48428571428571432"/>
    <n v="3.39"/>
    <n v="3.46"/>
    <n v="2.9410000000000003"/>
    <n v="0.49489051094890513"/>
    <n v="0.49489051094890513"/>
  </r>
  <r>
    <x v="91"/>
    <s v="April"/>
    <n v="14"/>
    <s v="Wednesday"/>
    <n v="2.92"/>
    <n v="7.3"/>
    <n v="1.6"/>
    <n v="1.1100000000000001"/>
    <n v="2.96"/>
    <n v="0.34"/>
    <n v="1.84"/>
    <n v="3"/>
    <n v="7"/>
    <n v="0.90857142857142847"/>
    <n v="6.3599999999999994"/>
    <n v="4.41"/>
    <n v="3.2709999999999999"/>
    <n v="0.59052924791086348"/>
    <n v="0.59052924791086348"/>
  </r>
  <r>
    <x v="92"/>
    <s v="April"/>
    <n v="14"/>
    <s v="Thursday"/>
    <n v="2.64"/>
    <n v="7.37"/>
    <n v="1.57"/>
    <n v="1.22"/>
    <n v="0.42"/>
    <n v="0.67"/>
    <n v="1.83"/>
    <n v="9"/>
    <n v="7"/>
    <n v="0.86285714285714299"/>
    <n v="6.0400000000000009"/>
    <n v="2.31"/>
    <n v="3.4169999999999998"/>
    <n v="0.72335329341317367"/>
    <n v="0.72335329341317367"/>
  </r>
  <r>
    <x v="93"/>
    <s v="April"/>
    <n v="14"/>
    <s v="Friday"/>
    <n v="5.4"/>
    <n v="5.85"/>
    <n v="2"/>
    <n v="2.1800000000000002"/>
    <n v="1.17"/>
    <n v="0.15"/>
    <n v="1.89"/>
    <n v="5"/>
    <n v="7"/>
    <n v="1"/>
    <n v="9.2899999999999991"/>
    <n v="3.5"/>
    <n v="3.9800000000000004"/>
    <n v="0.72634870992963252"/>
    <n v="0.72634870992963252"/>
  </r>
  <r>
    <x v="94"/>
    <s v="April"/>
    <n v="14"/>
    <s v="Saturday"/>
    <n v="2.76"/>
    <n v="5.29"/>
    <n v="1.93"/>
    <n v="2.4900000000000002"/>
    <n v="1.37"/>
    <n v="1.69"/>
    <n v="0.96"/>
    <n v="2"/>
    <n v="5"/>
    <n v="1"/>
    <n v="5.6499999999999995"/>
    <n v="5.5500000000000007"/>
    <n v="2.6909999999999998"/>
    <n v="0.5044642857142857"/>
    <n v="0.5044642857142857"/>
  </r>
  <r>
    <x v="95"/>
    <s v="April"/>
    <n v="14"/>
    <s v="Sunday"/>
    <n v="4.59"/>
    <n v="5.14"/>
    <n v="0.99"/>
    <n v="1.96"/>
    <n v="2.89"/>
    <n v="0.09"/>
    <n v="0.19"/>
    <n v="1"/>
    <n v="5"/>
    <n v="1"/>
    <n v="5.7700000000000005"/>
    <n v="4.9399999999999995"/>
    <n v="3.0910000000000002"/>
    <n v="0.5387488328664799"/>
    <n v="0.5387488328664799"/>
  </r>
  <r>
    <x v="96"/>
    <s v="April"/>
    <n v="15"/>
    <s v="Monday"/>
    <n v="2.2000000000000002"/>
    <n v="6.8"/>
    <n v="0.9"/>
    <n v="4.18"/>
    <n v="0.53"/>
    <n v="1.49"/>
    <n v="0.63"/>
    <n v="2"/>
    <n v="7"/>
    <n v="0.53285714285714281"/>
    <n v="3.73"/>
    <n v="6.2"/>
    <n v="2.629"/>
    <n v="0.37562940584088622"/>
    <n v="0.37562940584088622"/>
  </r>
  <r>
    <x v="97"/>
    <s v="April"/>
    <n v="15"/>
    <s v="Tuesday"/>
    <n v="1.98"/>
    <n v="7.34"/>
    <n v="0.08"/>
    <n v="2.87"/>
    <n v="1.29"/>
    <n v="0.87"/>
    <n v="1.04"/>
    <n v="5"/>
    <n v="7"/>
    <n v="0.44285714285714289"/>
    <n v="3.1"/>
    <n v="5.03"/>
    <n v="2.5939999999999999"/>
    <n v="0.38130381303813038"/>
    <n v="0.38130381303813038"/>
  </r>
  <r>
    <x v="98"/>
    <s v="April"/>
    <n v="15"/>
    <s v="Wednesday"/>
    <n v="1.02"/>
    <n v="7.01"/>
    <n v="0.67"/>
    <n v="4.83"/>
    <n v="0.82"/>
    <n v="0.71"/>
    <n v="1.86"/>
    <n v="6"/>
    <n v="7"/>
    <n v="0.50714285714285712"/>
    <n v="3.55"/>
    <n v="6.36"/>
    <n v="2.0799999999999996"/>
    <n v="0.35822401614530774"/>
    <n v="0.35822401614530774"/>
  </r>
  <r>
    <x v="99"/>
    <s v="April"/>
    <n v="15"/>
    <s v="Thursday"/>
    <n v="4.38"/>
    <n v="6.08"/>
    <n v="0.92"/>
    <n v="4.67"/>
    <n v="2.5499999999999998"/>
    <n v="1.39"/>
    <n v="0.05"/>
    <n v="2"/>
    <n v="7"/>
    <n v="0.76428571428571423"/>
    <n v="5.35"/>
    <n v="8.61"/>
    <n v="3.0379999999999998"/>
    <n v="0.38323782234957021"/>
    <n v="0.38323782234957021"/>
  </r>
  <r>
    <x v="100"/>
    <s v="April"/>
    <n v="15"/>
    <s v="Friday"/>
    <n v="5.0199999999999996"/>
    <n v="8.2799999999999994"/>
    <n v="0.51"/>
    <n v="2.5299999999999998"/>
    <n v="1.34"/>
    <n v="0.57999999999999996"/>
    <n v="0.89"/>
    <n v="6"/>
    <n v="7"/>
    <n v="0.91714285714285704"/>
    <n v="6.419999999999999"/>
    <n v="4.45"/>
    <n v="4.206999999999999"/>
    <n v="0.59061637534498612"/>
    <n v="0.59061637534498612"/>
  </r>
  <r>
    <x v="101"/>
    <s v="April"/>
    <n v="15"/>
    <s v="Saturday"/>
    <n v="3.92"/>
    <n v="7.46"/>
    <n v="1.21"/>
    <n v="3.16"/>
    <n v="1.4"/>
    <n v="0.06"/>
    <n v="1.88"/>
    <n v="4"/>
    <n v="5"/>
    <n v="1"/>
    <n v="7.01"/>
    <n v="4.62"/>
    <n v="3.5920000000000001"/>
    <n v="0.60275150472914873"/>
    <n v="0.60275150472914873"/>
  </r>
  <r>
    <x v="102"/>
    <s v="April"/>
    <n v="15"/>
    <s v="Sunday"/>
    <n v="5.77"/>
    <n v="7.89"/>
    <n v="0.43"/>
    <n v="2"/>
    <n v="0.89"/>
    <n v="0.09"/>
    <n v="0.11"/>
    <n v="8"/>
    <n v="5"/>
    <n v="1"/>
    <n v="6.31"/>
    <n v="2.98"/>
    <n v="4.4720000000000004"/>
    <n v="0.67922497308934338"/>
    <n v="0.67922497308934338"/>
  </r>
  <r>
    <x v="103"/>
    <s v="April"/>
    <n v="16"/>
    <s v="Monday"/>
    <n v="5.38"/>
    <n v="7.12"/>
    <n v="1.54"/>
    <n v="1.1399999999999999"/>
    <n v="0.01"/>
    <n v="1.68"/>
    <n v="1.02"/>
    <n v="9"/>
    <n v="7"/>
    <n v="1"/>
    <n v="7.94"/>
    <n v="2.83"/>
    <n v="4.4809999999999999"/>
    <n v="0.73723305478180134"/>
    <n v="0.73723305478180134"/>
  </r>
  <r>
    <x v="104"/>
    <s v="April"/>
    <n v="16"/>
    <s v="Tuesday"/>
    <n v="3.15"/>
    <n v="5.15"/>
    <n v="1.43"/>
    <n v="3.82"/>
    <n v="2.13"/>
    <n v="1.56"/>
    <n v="0.15"/>
    <n v="7"/>
    <n v="7"/>
    <n v="0.6757142857142856"/>
    <n v="4.7299999999999995"/>
    <n v="7.51"/>
    <n v="2.4960000000000004"/>
    <n v="0.38643790849673204"/>
    <n v="0.38643790849673204"/>
  </r>
  <r>
    <x v="105"/>
    <s v="April"/>
    <n v="16"/>
    <s v="Wednesday"/>
    <n v="1.18"/>
    <n v="7.29"/>
    <n v="0.66"/>
    <n v="4.04"/>
    <n v="0.3"/>
    <n v="1.85"/>
    <n v="0.22"/>
    <n v="2"/>
    <n v="7"/>
    <n v="0.29428571428571432"/>
    <n v="2.06"/>
    <n v="6.1899999999999995"/>
    <n v="2.3569999999999998"/>
    <n v="0.2496969696969697"/>
    <n v="0.2496969696969697"/>
  </r>
  <r>
    <x v="106"/>
    <s v="April"/>
    <n v="16"/>
    <s v="Thursday"/>
    <n v="4.08"/>
    <n v="7.96"/>
    <n v="0.89"/>
    <n v="3.6"/>
    <n v="1.25"/>
    <n v="1.41"/>
    <n v="0.01"/>
    <n v="2"/>
    <n v="7"/>
    <n v="0.71142857142857141"/>
    <n v="4.9799999999999995"/>
    <n v="6.26"/>
    <n v="3.7129999999999996"/>
    <n v="0.44306049822064059"/>
    <n v="0.44306049822064059"/>
  </r>
  <r>
    <x v="107"/>
    <s v="April"/>
    <n v="16"/>
    <s v="Friday"/>
    <n v="4.72"/>
    <n v="8.43"/>
    <n v="0.48"/>
    <n v="2.06"/>
    <n v="2.99"/>
    <n v="1.39"/>
    <n v="1.04"/>
    <n v="9"/>
    <n v="7"/>
    <n v="0.89142857142857146"/>
    <n v="6.24"/>
    <n v="6.44"/>
    <n v="4.008"/>
    <n v="0.49211356466876977"/>
    <n v="0.49211356466876977"/>
  </r>
  <r>
    <x v="108"/>
    <s v="April"/>
    <n v="16"/>
    <s v="Saturday"/>
    <n v="3.03"/>
    <n v="7.98"/>
    <n v="1.07"/>
    <n v="4.83"/>
    <n v="0.81"/>
    <n v="1.27"/>
    <n v="0.3"/>
    <n v="5"/>
    <n v="5"/>
    <n v="0.87999999999999989"/>
    <n v="4.3999999999999995"/>
    <n v="6.91"/>
    <n v="3.2559999999999998"/>
    <n v="0.38903625110521661"/>
    <n v="0.38903625110521661"/>
  </r>
  <r>
    <x v="109"/>
    <s v="April"/>
    <n v="16"/>
    <s v="Sunday"/>
    <n v="3.03"/>
    <n v="8.26"/>
    <n v="0.99"/>
    <n v="4.37"/>
    <n v="0.42"/>
    <n v="0.85"/>
    <n v="0.6"/>
    <n v="7"/>
    <n v="5"/>
    <n v="0.92400000000000004"/>
    <n v="4.62"/>
    <n v="5.64"/>
    <n v="3.4089999999999994"/>
    <n v="0.45029239766081874"/>
    <n v="0.45029239766081874"/>
  </r>
  <r>
    <x v="110"/>
    <s v="April"/>
    <n v="17"/>
    <s v="Monday"/>
    <n v="1.36"/>
    <n v="8.92"/>
    <n v="0.97"/>
    <n v="4.6900000000000004"/>
    <n v="0.28000000000000003"/>
    <n v="2"/>
    <n v="0.23"/>
    <n v="7"/>
    <n v="7"/>
    <n v="0.36571428571428571"/>
    <n v="2.56"/>
    <n v="6.9700000000000006"/>
    <n v="2.9169999999999998"/>
    <n v="0.2686253934942287"/>
    <n v="0.2686253934942287"/>
  </r>
  <r>
    <x v="111"/>
    <s v="April"/>
    <n v="17"/>
    <s v="Tuesday"/>
    <n v="2.76"/>
    <n v="6.97"/>
    <n v="0.82"/>
    <n v="4.63"/>
    <n v="1.65"/>
    <n v="1.3"/>
    <n v="1.38"/>
    <n v="8"/>
    <n v="7"/>
    <n v="0.70857142857142852"/>
    <n v="4.96"/>
    <n v="7.5799999999999992"/>
    <n v="2.7309999999999994"/>
    <n v="0.3955342902711324"/>
    <n v="0.3955342902711324"/>
  </r>
  <r>
    <x v="112"/>
    <s v="April"/>
    <n v="17"/>
    <s v="Wednesday"/>
    <n v="4.51"/>
    <n v="6.83"/>
    <n v="1.42"/>
    <n v="2.72"/>
    <n v="1.1299999999999999"/>
    <n v="1.1000000000000001"/>
    <n v="1.93"/>
    <n v="8"/>
    <n v="7"/>
    <n v="1"/>
    <n v="7.8599999999999994"/>
    <n v="4.95"/>
    <n v="3.7519999999999998"/>
    <n v="0.61358313817330212"/>
    <n v="0.61358313817330212"/>
  </r>
  <r>
    <x v="113"/>
    <s v="April"/>
    <n v="17"/>
    <s v="Thursday"/>
    <n v="2.5299999999999998"/>
    <n v="8.65"/>
    <n v="0.92"/>
    <n v="4.5999999999999996"/>
    <n v="1.93"/>
    <n v="1.41"/>
    <n v="1.9"/>
    <n v="1"/>
    <n v="7"/>
    <n v="0.76428571428571423"/>
    <n v="5.35"/>
    <n v="7.9399999999999995"/>
    <n v="3.1380000000000003"/>
    <n v="0.40255831452219715"/>
    <n v="0.40255831452219715"/>
  </r>
  <r>
    <x v="114"/>
    <s v="April"/>
    <n v="17"/>
    <s v="Friday"/>
    <n v="3.46"/>
    <n v="6.09"/>
    <n v="0.75"/>
    <n v="3.26"/>
    <n v="1.83"/>
    <n v="0.21"/>
    <n v="0.06"/>
    <n v="5"/>
    <n v="7"/>
    <n v="0.61"/>
    <n v="4.2699999999999996"/>
    <n v="5.3"/>
    <n v="2.8520000000000003"/>
    <n v="0.4461859979101358"/>
    <n v="0.4461859979101358"/>
  </r>
  <r>
    <x v="115"/>
    <s v="April"/>
    <n v="17"/>
    <s v="Saturday"/>
    <n v="3.89"/>
    <n v="6.2"/>
    <n v="0.78"/>
    <n v="1.05"/>
    <n v="1.17"/>
    <n v="0.38"/>
    <n v="0.78"/>
    <n v="5"/>
    <n v="5"/>
    <n v="1"/>
    <n v="5.45"/>
    <n v="2.5999999999999996"/>
    <n v="3.35"/>
    <n v="0.67701863354037262"/>
    <n v="0.67701863354037262"/>
  </r>
  <r>
    <x v="116"/>
    <s v="April"/>
    <n v="17"/>
    <s v="Sunday"/>
    <n v="4.76"/>
    <n v="6.07"/>
    <n v="0.87"/>
    <n v="3.06"/>
    <n v="1.1499999999999999"/>
    <n v="1.93"/>
    <n v="1.92"/>
    <n v="2"/>
    <n v="5"/>
    <n v="1"/>
    <n v="7.55"/>
    <n v="6.14"/>
    <n v="3.4779999999999998"/>
    <n v="0.55149744338933526"/>
    <n v="0.55149744338933526"/>
  </r>
  <r>
    <x v="117"/>
    <s v="April"/>
    <n v="18"/>
    <s v="Monday"/>
    <n v="4.18"/>
    <n v="5.1100000000000003"/>
    <n v="0.21"/>
    <n v="4.8"/>
    <n v="2.95"/>
    <n v="1.1200000000000001"/>
    <n v="0.36"/>
    <n v="10"/>
    <n v="7"/>
    <n v="0.6785714285714286"/>
    <n v="4.75"/>
    <n v="8.870000000000001"/>
    <n v="2.472"/>
    <n v="0.3487518355359765"/>
    <n v="0.3487518355359765"/>
  </r>
  <r>
    <x v="118"/>
    <s v="April"/>
    <n v="18"/>
    <s v="Tuesday"/>
    <n v="2.73"/>
    <n v="5.97"/>
    <n v="1.19"/>
    <n v="4.8099999999999996"/>
    <n v="2.54"/>
    <n v="0.87"/>
    <n v="1.9"/>
    <n v="1"/>
    <n v="7"/>
    <n v="0.83142857142857152"/>
    <n v="5.82"/>
    <n v="8.2199999999999989"/>
    <n v="2.3860000000000001"/>
    <n v="0.41452991452991456"/>
    <n v="0.41452991452991456"/>
  </r>
  <r>
    <x v="119"/>
    <s v="April"/>
    <n v="18"/>
    <s v="Wednesday"/>
    <n v="3.8"/>
    <n v="5.38"/>
    <n v="1.99"/>
    <n v="1.83"/>
    <n v="1.65"/>
    <n v="0.54"/>
    <n v="1.0900000000000001"/>
    <n v="2"/>
    <n v="7"/>
    <n v="0.98285714285714287"/>
    <n v="6.88"/>
    <n v="4.0199999999999996"/>
    <n v="3.1840000000000002"/>
    <n v="0.63119266055045875"/>
    <n v="0.63119266055045875"/>
  </r>
  <r>
    <x v="120"/>
    <s v="May"/>
    <n v="18"/>
    <s v="Thursday"/>
    <n v="1.81"/>
    <n v="6.25"/>
    <n v="7.0000000000000007E-2"/>
    <n v="3.49"/>
    <n v="2.72"/>
    <n v="0.27"/>
    <n v="1.59"/>
    <n v="5"/>
    <n v="7"/>
    <n v="0.49571428571428572"/>
    <n v="3.47"/>
    <n v="6.48"/>
    <n v="1.992"/>
    <n v="0.34874371859296482"/>
    <n v="0.34874371859296482"/>
  </r>
  <r>
    <x v="121"/>
    <s v="May"/>
    <n v="18"/>
    <s v="Friday"/>
    <n v="3.31"/>
    <n v="7.06"/>
    <n v="1.69"/>
    <n v="4.25"/>
    <n v="0.84"/>
    <n v="1.84"/>
    <n v="0.94"/>
    <n v="10"/>
    <n v="7"/>
    <n v="0.84857142857142853"/>
    <n v="5.9399999999999995"/>
    <n v="6.93"/>
    <n v="3.2710000000000004"/>
    <n v="0.46153846153846151"/>
    <n v="0.46153846153846151"/>
  </r>
  <r>
    <x v="122"/>
    <s v="May"/>
    <n v="18"/>
    <s v="Saturday"/>
    <n v="4.33"/>
    <n v="7.14"/>
    <n v="1.58"/>
    <n v="2.89"/>
    <n v="0.88"/>
    <n v="0.42"/>
    <n v="0.77"/>
    <n v="4"/>
    <n v="5"/>
    <n v="1"/>
    <n v="6.68"/>
    <n v="4.1900000000000004"/>
    <n v="3.8130000000000002"/>
    <n v="0.61453541858325655"/>
    <n v="0.61453541858325655"/>
  </r>
  <r>
    <x v="123"/>
    <s v="May"/>
    <n v="18"/>
    <s v="Sunday"/>
    <n v="3.54"/>
    <n v="8.9"/>
    <n v="0.91"/>
    <n v="2.44"/>
    <n v="0.03"/>
    <n v="1.59"/>
    <n v="1.18"/>
    <n v="2"/>
    <n v="5"/>
    <n v="1"/>
    <n v="5.63"/>
    <n v="4.0599999999999996"/>
    <n v="4.0210000000000008"/>
    <n v="0.58101135190918474"/>
    <n v="0.58101135190918474"/>
  </r>
  <r>
    <x v="124"/>
    <s v="May"/>
    <n v="19"/>
    <s v="Monday"/>
    <n v="1.1499999999999999"/>
    <n v="5.8"/>
    <n v="1.87"/>
    <n v="3.74"/>
    <n v="2.63"/>
    <n v="0.28000000000000003"/>
    <n v="0.81"/>
    <n v="2"/>
    <n v="7"/>
    <n v="0.54714285714285715"/>
    <n v="3.83"/>
    <n v="6.65"/>
    <n v="1.9370000000000003"/>
    <n v="0.36545801526717558"/>
    <n v="0.36545801526717558"/>
  </r>
  <r>
    <x v="125"/>
    <s v="May"/>
    <n v="19"/>
    <s v="Tuesday"/>
    <n v="3.47"/>
    <n v="8.3699999999999992"/>
    <n v="1.01"/>
    <n v="2.5299999999999998"/>
    <n v="2.61"/>
    <n v="1.89"/>
    <n v="0.8"/>
    <n v="3"/>
    <n v="7"/>
    <n v="0.75428571428571434"/>
    <n v="5.28"/>
    <n v="7.0299999999999994"/>
    <n v="3.5869999999999997"/>
    <n v="0.42891957757920396"/>
    <n v="0.42891957757920396"/>
  </r>
  <r>
    <x v="126"/>
    <s v="May"/>
    <n v="19"/>
    <s v="Wednesday"/>
    <n v="4.3"/>
    <n v="7.12"/>
    <n v="0.11"/>
    <n v="1.97"/>
    <n v="0.56000000000000005"/>
    <n v="1"/>
    <n v="0.33"/>
    <n v="4"/>
    <n v="7"/>
    <n v="0.67714285714285716"/>
    <n v="4.74"/>
    <n v="3.5300000000000002"/>
    <n v="3.6249999999999996"/>
    <n v="0.57315598548972191"/>
    <n v="0.57315598548972191"/>
  </r>
  <r>
    <x v="127"/>
    <s v="May"/>
    <n v="19"/>
    <s v="Thursday"/>
    <n v="1.64"/>
    <n v="7.8"/>
    <n v="0.61"/>
    <n v="3.94"/>
    <n v="0.64"/>
    <n v="0.81"/>
    <n v="0.78"/>
    <n v="2"/>
    <n v="7"/>
    <n v="0.43285714285714283"/>
    <n v="3.03"/>
    <n v="5.3900000000000006"/>
    <n v="2.6599999999999997"/>
    <n v="0.35985748218527314"/>
    <n v="0.35985748218527314"/>
  </r>
  <r>
    <x v="128"/>
    <s v="May"/>
    <n v="19"/>
    <s v="Friday"/>
    <n v="3.95"/>
    <n v="8.0299999999999994"/>
    <n v="0.76"/>
    <n v="1.97"/>
    <n v="2.57"/>
    <n v="1.81"/>
    <n v="0.19"/>
    <n v="10"/>
    <n v="7"/>
    <n v="0.70000000000000007"/>
    <n v="4.9000000000000004"/>
    <n v="6.35"/>
    <n v="3.6869999999999998"/>
    <n v="0.43555555555555558"/>
    <n v="0.43555555555555558"/>
  </r>
  <r>
    <x v="129"/>
    <s v="May"/>
    <n v="19"/>
    <s v="Saturday"/>
    <n v="3.78"/>
    <n v="6.7"/>
    <n v="0.88"/>
    <n v="3.06"/>
    <n v="2.81"/>
    <n v="1.98"/>
    <n v="0.55000000000000004"/>
    <n v="1"/>
    <n v="5"/>
    <n v="1"/>
    <n v="5.21"/>
    <n v="7.85"/>
    <n v="3.1109999999999998"/>
    <n v="0.39892802450229714"/>
    <n v="0.39892802450229714"/>
  </r>
  <r>
    <x v="130"/>
    <s v="May"/>
    <n v="19"/>
    <s v="Sunday"/>
    <n v="1.17"/>
    <n v="8.43"/>
    <n v="1.57"/>
    <n v="3.61"/>
    <n v="2.4700000000000002"/>
    <n v="1.23"/>
    <n v="1.1100000000000001"/>
    <n v="10"/>
    <n v="5"/>
    <n v="0.77000000000000013"/>
    <n v="3.8500000000000005"/>
    <n v="7.3100000000000005"/>
    <n v="2.7029999999999998"/>
    <n v="0.34498207885304666"/>
    <n v="0.34498207885304666"/>
  </r>
  <r>
    <x v="131"/>
    <s v="May"/>
    <n v="20"/>
    <s v="Monday"/>
    <n v="5.76"/>
    <n v="7.05"/>
    <n v="1.8"/>
    <n v="2.35"/>
    <n v="1.3"/>
    <n v="1.76"/>
    <n v="1.49"/>
    <n v="5"/>
    <n v="7"/>
    <n v="1"/>
    <n v="9.0500000000000007"/>
    <n v="5.41"/>
    <n v="4.4139999999999997"/>
    <n v="0.62586445366528354"/>
    <n v="0.62586445366528354"/>
  </r>
  <r>
    <x v="132"/>
    <s v="May"/>
    <n v="20"/>
    <s v="Tuesday"/>
    <n v="1.23"/>
    <n v="6.65"/>
    <n v="0.35"/>
    <n v="4.79"/>
    <n v="2.98"/>
    <n v="0.93"/>
    <n v="1.69"/>
    <n v="10"/>
    <n v="7"/>
    <n v="0.46714285714285714"/>
    <n v="3.27"/>
    <n v="8.6999999999999993"/>
    <n v="1.7799999999999998"/>
    <n v="0.27318295739348375"/>
    <n v="0.27318295739348375"/>
  </r>
  <r>
    <x v="133"/>
    <s v="May"/>
    <n v="20"/>
    <s v="Wednesday"/>
    <n v="5.3"/>
    <n v="6.54"/>
    <n v="1.6"/>
    <n v="2.75"/>
    <n v="2.44"/>
    <n v="0.12"/>
    <n v="0.88"/>
    <n v="10"/>
    <n v="7"/>
    <n v="1"/>
    <n v="7.7799999999999994"/>
    <n v="5.31"/>
    <n v="3.883"/>
    <n v="0.59434682964094721"/>
    <n v="0.59434682964094721"/>
  </r>
  <r>
    <x v="134"/>
    <s v="May"/>
    <n v="20"/>
    <s v="Thursday"/>
    <n v="3.71"/>
    <n v="5.31"/>
    <n v="0.97"/>
    <n v="4.59"/>
    <n v="2.52"/>
    <n v="1.1499999999999999"/>
    <n v="1.64"/>
    <n v="4"/>
    <n v="7"/>
    <n v="0.9028571428571428"/>
    <n v="6.3199999999999994"/>
    <n v="8.26"/>
    <n v="2.5599999999999996"/>
    <n v="0.43347050754458161"/>
    <n v="0.43347050754458161"/>
  </r>
  <r>
    <x v="135"/>
    <s v="May"/>
    <n v="20"/>
    <s v="Friday"/>
    <n v="4.0999999999999996"/>
    <n v="6.58"/>
    <n v="0.83"/>
    <n v="1.96"/>
    <n v="0.2"/>
    <n v="0.95"/>
    <n v="1.99"/>
    <n v="9"/>
    <n v="7"/>
    <n v="0.98857142857142855"/>
    <n v="6.92"/>
    <n v="3.1100000000000003"/>
    <n v="3.5639999999999996"/>
    <n v="0.68993020937188421"/>
    <n v="0.68993020937188421"/>
  </r>
  <r>
    <x v="136"/>
    <s v="May"/>
    <n v="20"/>
    <s v="Saturday"/>
    <n v="4.5199999999999996"/>
    <n v="7.15"/>
    <n v="0.65"/>
    <n v="2.58"/>
    <n v="1.41"/>
    <n v="0.74"/>
    <n v="0.34"/>
    <n v="4"/>
    <n v="5"/>
    <n v="1"/>
    <n v="5.51"/>
    <n v="4.7300000000000004"/>
    <n v="3.6840000000000002"/>
    <n v="0.5380859375"/>
    <n v="0.5380859375"/>
  </r>
  <r>
    <x v="137"/>
    <s v="May"/>
    <n v="20"/>
    <s v="Sunday"/>
    <n v="2.39"/>
    <n v="7.36"/>
    <n v="1.63"/>
    <n v="1.72"/>
    <n v="2.33"/>
    <n v="0.99"/>
    <n v="0.79"/>
    <n v="10"/>
    <n v="5"/>
    <n v="0.96200000000000008"/>
    <n v="4.8100000000000005"/>
    <n v="5.04"/>
    <n v="3.085"/>
    <n v="0.48832487309644668"/>
    <n v="0.48832487309644668"/>
  </r>
  <r>
    <x v="138"/>
    <s v="May"/>
    <n v="21"/>
    <s v="Monday"/>
    <n v="3.58"/>
    <n v="8.02"/>
    <n v="0.51"/>
    <n v="4.2300000000000004"/>
    <n v="0.06"/>
    <n v="1.87"/>
    <n v="1.24"/>
    <n v="5"/>
    <n v="7"/>
    <n v="0.76142857142857145"/>
    <n v="5.33"/>
    <n v="6.16"/>
    <n v="3.5110000000000001"/>
    <n v="0.46388163620539602"/>
    <n v="0.46388163620539602"/>
  </r>
  <r>
    <x v="139"/>
    <s v="May"/>
    <n v="21"/>
    <s v="Tuesday"/>
    <n v="4.6500000000000004"/>
    <n v="5.17"/>
    <n v="0.66"/>
    <n v="3.8"/>
    <n v="1.24"/>
    <n v="1.1299999999999999"/>
    <n v="1.65"/>
    <n v="10"/>
    <n v="7"/>
    <n v="0.99428571428571444"/>
    <n v="6.9600000000000009"/>
    <n v="6.17"/>
    <n v="3.0390000000000006"/>
    <n v="0.53008377760853009"/>
    <n v="0.53008377760853009"/>
  </r>
  <r>
    <x v="140"/>
    <s v="May"/>
    <n v="21"/>
    <s v="Wednesday"/>
    <n v="4.3499999999999996"/>
    <n v="8.35"/>
    <n v="1.95"/>
    <n v="1.2"/>
    <n v="2.29"/>
    <n v="1.88"/>
    <n v="0.76"/>
    <n v="6"/>
    <n v="7"/>
    <n v="1"/>
    <n v="7.06"/>
    <n v="5.37"/>
    <n v="4.2859999999999996"/>
    <n v="0.56798069187449718"/>
    <n v="0.56798069187449718"/>
  </r>
  <r>
    <x v="141"/>
    <s v="May"/>
    <n v="21"/>
    <s v="Thursday"/>
    <n v="4.17"/>
    <n v="5.82"/>
    <n v="1.0900000000000001"/>
    <n v="1.5"/>
    <n v="2.94"/>
    <n v="0.5"/>
    <n v="1.84"/>
    <n v="9"/>
    <n v="7"/>
    <n v="1"/>
    <n v="7.1"/>
    <n v="4.9399999999999995"/>
    <n v="3.1880000000000002"/>
    <n v="0.5897009966777409"/>
    <n v="0.5897009966777409"/>
  </r>
  <r>
    <x v="142"/>
    <s v="May"/>
    <n v="21"/>
    <s v="Friday"/>
    <n v="5.67"/>
    <n v="6.98"/>
    <n v="0.42"/>
    <n v="1.88"/>
    <n v="2.19"/>
    <n v="1.45"/>
    <n v="0.75"/>
    <n v="8"/>
    <n v="7"/>
    <n v="0.97714285714285709"/>
    <n v="6.84"/>
    <n v="5.5200000000000005"/>
    <n v="4.0389999999999997"/>
    <n v="0.55339805825242716"/>
    <n v="0.55339805825242716"/>
  </r>
  <r>
    <x v="143"/>
    <s v="May"/>
    <n v="21"/>
    <s v="Saturday"/>
    <n v="4.2300000000000004"/>
    <n v="6.76"/>
    <n v="1.66"/>
    <n v="3.38"/>
    <n v="2.54"/>
    <n v="0.45"/>
    <n v="0.31"/>
    <n v="9"/>
    <n v="5"/>
    <n v="1"/>
    <n v="6.2"/>
    <n v="6.37"/>
    <n v="3.4600000000000004"/>
    <n v="0.49323786793953861"/>
    <n v="0.49323786793953861"/>
  </r>
  <r>
    <x v="144"/>
    <s v="May"/>
    <n v="21"/>
    <s v="Sunday"/>
    <n v="1.64"/>
    <n v="7.74"/>
    <n v="0.82"/>
    <n v="3.44"/>
    <n v="0.54"/>
    <n v="0.45"/>
    <n v="1.68"/>
    <n v="6"/>
    <n v="5"/>
    <n v="0.82799999999999996"/>
    <n v="4.1399999999999997"/>
    <n v="4.43"/>
    <n v="2.7440000000000002"/>
    <n v="0.48308051341890312"/>
    <n v="0.48308051341890312"/>
  </r>
  <r>
    <x v="145"/>
    <s v="May"/>
    <n v="22"/>
    <s v="Monday"/>
    <n v="2.85"/>
    <n v="6.13"/>
    <n v="0.34"/>
    <n v="3.18"/>
    <n v="2.4900000000000002"/>
    <n v="0.28000000000000003"/>
    <n v="1.47"/>
    <n v="6"/>
    <n v="7"/>
    <n v="0.6657142857142857"/>
    <n v="4.66"/>
    <n v="5.95"/>
    <n v="2.48"/>
    <n v="0.43920829406220552"/>
    <n v="0.43920829406220552"/>
  </r>
  <r>
    <x v="146"/>
    <s v="May"/>
    <n v="22"/>
    <s v="Tuesday"/>
    <n v="3.46"/>
    <n v="8.89"/>
    <n v="0.27"/>
    <n v="2.1"/>
    <n v="2.82"/>
    <n v="1.7"/>
    <n v="1.84"/>
    <n v="7"/>
    <n v="7"/>
    <n v="0.79571428571428571"/>
    <n v="5.57"/>
    <n v="6.62"/>
    <n v="3.6130000000000004"/>
    <n v="0.45693191140278916"/>
    <n v="0.45693191140278916"/>
  </r>
  <r>
    <x v="147"/>
    <s v="May"/>
    <n v="22"/>
    <s v="Wednesday"/>
    <n v="3.99"/>
    <n v="7.28"/>
    <n v="1.65"/>
    <n v="3.01"/>
    <n v="2.42"/>
    <n v="1.22"/>
    <n v="2"/>
    <n v="2"/>
    <n v="7"/>
    <n v="1"/>
    <n v="7.6400000000000006"/>
    <n v="6.6499999999999995"/>
    <n v="3.5670000000000002"/>
    <n v="0.53463960811756484"/>
    <n v="0.53463960811756484"/>
  </r>
  <r>
    <x v="148"/>
    <s v="May"/>
    <n v="22"/>
    <s v="Thursday"/>
    <n v="2.62"/>
    <n v="8.4"/>
    <n v="1.43"/>
    <n v="1.03"/>
    <n v="0.38"/>
    <n v="1.76"/>
    <n v="1.57"/>
    <n v="8"/>
    <n v="7"/>
    <n v="0.80285714285714282"/>
    <n v="5.62"/>
    <n v="3.17"/>
    <n v="3.7130000000000001"/>
    <n v="0.63936291240045517"/>
    <n v="0.63936291240045517"/>
  </r>
  <r>
    <x v="149"/>
    <s v="May"/>
    <n v="22"/>
    <s v="Friday"/>
    <n v="3.15"/>
    <n v="6.96"/>
    <n v="1.65"/>
    <n v="3.77"/>
    <n v="1.47"/>
    <n v="1.38"/>
    <n v="0.88"/>
    <n v="8"/>
    <n v="7"/>
    <n v="0.81142857142857139"/>
    <n v="5.68"/>
    <n v="6.62"/>
    <n v="3.1539999999999999"/>
    <n v="0.46178861788617881"/>
    <n v="0.46178861788617881"/>
  </r>
  <r>
    <x v="150"/>
    <s v="May"/>
    <n v="22"/>
    <s v="Saturday"/>
    <n v="5.27"/>
    <n v="5.41"/>
    <n v="1.6"/>
    <n v="4.84"/>
    <n v="0.13"/>
    <n v="0.95"/>
    <n v="1.34"/>
    <n v="2"/>
    <n v="5"/>
    <n v="1"/>
    <n v="8.2099999999999991"/>
    <n v="5.92"/>
    <n v="3.5540000000000003"/>
    <n v="0.581033262561925"/>
    <n v="0.581033262561925"/>
  </r>
  <r>
    <x v="151"/>
    <s v="June"/>
    <n v="22"/>
    <s v="Sunday"/>
    <n v="2.27"/>
    <n v="7.96"/>
    <n v="0.83"/>
    <n v="1.63"/>
    <n v="0.78"/>
    <n v="0.95"/>
    <n v="0.72"/>
    <n v="4"/>
    <n v="5"/>
    <n v="0.76400000000000001"/>
    <n v="3.8200000000000003"/>
    <n v="3.3600000000000003"/>
    <n v="3.2209999999999996"/>
    <n v="0.53203342618384397"/>
    <n v="0.53203342618384397"/>
  </r>
  <r>
    <x v="152"/>
    <s v="June"/>
    <n v="23"/>
    <s v="Monday"/>
    <n v="4.24"/>
    <n v="6.77"/>
    <n v="7.0000000000000007E-2"/>
    <n v="4.9000000000000004"/>
    <n v="1.92"/>
    <n v="0.63"/>
    <n v="0.23"/>
    <n v="4"/>
    <n v="7"/>
    <n v="0.64857142857142869"/>
    <n v="4.5400000000000009"/>
    <n v="7.45"/>
    <n v="3.0589999999999997"/>
    <n v="0.3786488740617181"/>
    <n v="0.3786488740617181"/>
  </r>
  <r>
    <x v="153"/>
    <s v="June"/>
    <n v="23"/>
    <s v="Tuesday"/>
    <n v="5.17"/>
    <n v="6.25"/>
    <n v="1.25"/>
    <n v="3.36"/>
    <n v="1.87"/>
    <n v="0.28000000000000003"/>
    <n v="0.15"/>
    <n v="7"/>
    <n v="7"/>
    <n v="0.93857142857142861"/>
    <n v="6.57"/>
    <n v="5.5100000000000007"/>
    <n v="3.6699999999999995"/>
    <n v="0.54387417218543044"/>
    <n v="0.54387417218543044"/>
  </r>
  <r>
    <x v="154"/>
    <s v="June"/>
    <n v="23"/>
    <s v="Wednesday"/>
    <n v="5.21"/>
    <n v="5.3"/>
    <n v="1.3"/>
    <n v="4.6900000000000004"/>
    <n v="0.68"/>
    <n v="1.84"/>
    <n v="1.93"/>
    <n v="7"/>
    <n v="7"/>
    <n v="1"/>
    <n v="8.44"/>
    <n v="7.21"/>
    <n v="3.3970000000000002"/>
    <n v="0.53929712460063894"/>
    <n v="0.53929712460063894"/>
  </r>
  <r>
    <x v="155"/>
    <s v="June"/>
    <n v="23"/>
    <s v="Thursday"/>
    <n v="2.62"/>
    <n v="7.7"/>
    <n v="1.3"/>
    <n v="3.34"/>
    <n v="0.97"/>
    <n v="1.32"/>
    <n v="0.01"/>
    <n v="1"/>
    <n v="7"/>
    <n v="0.56142857142857139"/>
    <n v="3.9299999999999997"/>
    <n v="5.63"/>
    <n v="3.1870000000000003"/>
    <n v="0.41108786610878661"/>
    <n v="0.41108786610878661"/>
  </r>
  <r>
    <x v="156"/>
    <s v="June"/>
    <n v="23"/>
    <s v="Friday"/>
    <n v="5.62"/>
    <n v="6.16"/>
    <n v="1.06"/>
    <n v="3.69"/>
    <n v="0.4"/>
    <n v="0.54"/>
    <n v="1.05"/>
    <n v="3"/>
    <n v="7"/>
    <n v="1"/>
    <n v="7.73"/>
    <n v="4.63"/>
    <n v="3.899"/>
    <n v="0.62540453074433666"/>
    <n v="0.62540453074433666"/>
  </r>
  <r>
    <x v="157"/>
    <s v="June"/>
    <n v="23"/>
    <s v="Saturday"/>
    <n v="3.22"/>
    <n v="5.45"/>
    <n v="0.62"/>
    <n v="2.12"/>
    <n v="1.94"/>
    <n v="0.11"/>
    <n v="1.48"/>
    <n v="10"/>
    <n v="5"/>
    <n v="1"/>
    <n v="5.32"/>
    <n v="4.1700000000000008"/>
    <n v="2.641"/>
    <n v="0.56059009483667011"/>
    <n v="0.56059009483667011"/>
  </r>
  <r>
    <x v="158"/>
    <s v="June"/>
    <n v="23"/>
    <s v="Sunday"/>
    <n v="5.97"/>
    <n v="8.4"/>
    <n v="1.17"/>
    <n v="4.25"/>
    <n v="2.4900000000000002"/>
    <n v="1.43"/>
    <n v="0.37"/>
    <n v="4"/>
    <n v="5"/>
    <n v="1"/>
    <n v="7.51"/>
    <n v="8.17"/>
    <n v="4.4679999999999991"/>
    <n v="0.47895408163265307"/>
    <n v="0.47895408163265307"/>
  </r>
  <r>
    <x v="159"/>
    <s v="June"/>
    <n v="24"/>
    <s v="Monday"/>
    <n v="4.68"/>
    <n v="7.31"/>
    <n v="1.31"/>
    <n v="1.31"/>
    <n v="0.67"/>
    <n v="1.48"/>
    <n v="1.85"/>
    <n v="10"/>
    <n v="7"/>
    <n v="1"/>
    <n v="7.84"/>
    <n v="3.46"/>
    <n v="4.1289999999999996"/>
    <n v="0.69380530973451326"/>
    <n v="0.69380530973451326"/>
  </r>
  <r>
    <x v="160"/>
    <s v="June"/>
    <n v="24"/>
    <s v="Tuesday"/>
    <n v="2.98"/>
    <n v="5.57"/>
    <n v="0.86"/>
    <n v="1.39"/>
    <n v="1.81"/>
    <n v="0.03"/>
    <n v="0.93"/>
    <n v="5"/>
    <n v="7"/>
    <n v="0.68142857142857149"/>
    <n v="4.7700000000000005"/>
    <n v="3.23"/>
    <n v="2.7150000000000003"/>
    <n v="0.59625000000000006"/>
    <n v="0.59625000000000006"/>
  </r>
  <r>
    <x v="161"/>
    <s v="June"/>
    <n v="24"/>
    <s v="Wednesday"/>
    <n v="5.04"/>
    <n v="8.83"/>
    <n v="1.68"/>
    <n v="2.4300000000000002"/>
    <n v="1.67"/>
    <n v="0.66"/>
    <n v="0.35"/>
    <n v="1"/>
    <n v="7"/>
    <n v="1"/>
    <n v="7.0699999999999994"/>
    <n v="4.76"/>
    <n v="4.5910000000000002"/>
    <n v="0.59763313609467461"/>
    <n v="0.59763313609467461"/>
  </r>
  <r>
    <x v="162"/>
    <s v="June"/>
    <n v="24"/>
    <s v="Thursday"/>
    <n v="4.99"/>
    <n v="5.2"/>
    <n v="1.51"/>
    <n v="1.76"/>
    <n v="0.91"/>
    <n v="1.51"/>
    <n v="1.1000000000000001"/>
    <n v="6"/>
    <n v="7"/>
    <n v="1"/>
    <n v="7.6"/>
    <n v="4.18"/>
    <n v="3.5910000000000002"/>
    <n v="0.64516129032258063"/>
    <n v="0.64516129032258063"/>
  </r>
  <r>
    <x v="163"/>
    <s v="June"/>
    <n v="24"/>
    <s v="Friday"/>
    <n v="4.87"/>
    <n v="5.3"/>
    <n v="0.13"/>
    <n v="1.34"/>
    <n v="2.16"/>
    <n v="0.36"/>
    <n v="0.48"/>
    <n v="4"/>
    <n v="7"/>
    <n v="0.78285714285714281"/>
    <n v="5.4799999999999995"/>
    <n v="3.86"/>
    <n v="3.214"/>
    <n v="0.58672376873661669"/>
    <n v="0.58672376873661669"/>
  </r>
  <r>
    <x v="164"/>
    <s v="June"/>
    <n v="24"/>
    <s v="Saturday"/>
    <n v="4.7"/>
    <n v="6.8"/>
    <n v="1.29"/>
    <n v="3.37"/>
    <n v="2.92"/>
    <n v="1.02"/>
    <n v="1.53"/>
    <n v="7"/>
    <n v="5"/>
    <n v="1"/>
    <n v="7.5200000000000005"/>
    <n v="7.3100000000000005"/>
    <n v="3.5489999999999999"/>
    <n v="0.50708024275118002"/>
    <n v="0.50708024275118002"/>
  </r>
  <r>
    <x v="165"/>
    <s v="June"/>
    <n v="24"/>
    <s v="Sunday"/>
    <n v="4.16"/>
    <n v="7.7"/>
    <n v="1.21"/>
    <n v="2.81"/>
    <n v="1.89"/>
    <n v="1.21"/>
    <n v="0.25"/>
    <n v="6"/>
    <n v="5"/>
    <n v="1"/>
    <n v="5.62"/>
    <n v="5.91"/>
    <n v="3.746"/>
    <n v="0.48742411101474409"/>
    <n v="0.48742411101474409"/>
  </r>
  <r>
    <x v="166"/>
    <s v="June"/>
    <n v="25"/>
    <s v="Monday"/>
    <n v="5.57"/>
    <n v="8.76"/>
    <n v="1.24"/>
    <n v="2.2599999999999998"/>
    <n v="1.84"/>
    <n v="1.21"/>
    <n v="0.83"/>
    <n v="10"/>
    <n v="7"/>
    <n v="1"/>
    <n v="7.6400000000000006"/>
    <n v="5.31"/>
    <n v="4.694"/>
    <n v="0.58996138996139003"/>
    <n v="0.58996138996139003"/>
  </r>
  <r>
    <x v="167"/>
    <s v="June"/>
    <n v="25"/>
    <s v="Tuesday"/>
    <n v="1.76"/>
    <n v="8.16"/>
    <n v="1.64"/>
    <n v="4.87"/>
    <n v="1.95"/>
    <n v="0.64"/>
    <n v="0.5"/>
    <n v="7"/>
    <n v="7"/>
    <n v="0.55714285714285705"/>
    <n v="3.8999999999999995"/>
    <n v="7.46"/>
    <n v="2.798"/>
    <n v="0.34330985915492956"/>
    <n v="0.34330985915492956"/>
  </r>
  <r>
    <x v="168"/>
    <s v="June"/>
    <n v="25"/>
    <s v="Wednesday"/>
    <n v="4.8499999999999996"/>
    <n v="5.79"/>
    <n v="1.37"/>
    <n v="1.9"/>
    <n v="1.58"/>
    <n v="1.99"/>
    <n v="0.75"/>
    <n v="5"/>
    <n v="7"/>
    <n v="0.99571428571428566"/>
    <n v="6.97"/>
    <n v="5.47"/>
    <n v="3.6029999999999998"/>
    <n v="0.56028938906752412"/>
    <n v="0.56028938906752412"/>
  </r>
  <r>
    <x v="169"/>
    <s v="June"/>
    <n v="25"/>
    <s v="Thursday"/>
    <n v="5.16"/>
    <n v="6.1"/>
    <n v="0.04"/>
    <n v="3.71"/>
    <n v="0.48"/>
    <n v="1.1000000000000001"/>
    <n v="1.53"/>
    <n v="2"/>
    <n v="7"/>
    <n v="0.96142857142857152"/>
    <n v="6.73"/>
    <n v="5.2899999999999991"/>
    <n v="3.4830000000000001"/>
    <n v="0.55990016638935114"/>
    <n v="0.55990016638935114"/>
  </r>
  <r>
    <x v="170"/>
    <s v="June"/>
    <n v="25"/>
    <s v="Friday"/>
    <n v="1.43"/>
    <n v="8.74"/>
    <n v="0.95"/>
    <n v="2.62"/>
    <n v="0.84"/>
    <n v="1.94"/>
    <n v="1.69"/>
    <n v="6"/>
    <n v="7"/>
    <n v="0.58142857142857152"/>
    <n v="4.07"/>
    <n v="5.4"/>
    <n v="3.0379999999999998"/>
    <n v="0.42977824709609291"/>
    <n v="0.42977824709609291"/>
  </r>
  <r>
    <x v="171"/>
    <s v="June"/>
    <n v="25"/>
    <s v="Saturday"/>
    <n v="2.5099999999999998"/>
    <n v="5.44"/>
    <n v="1.62"/>
    <n v="1.1499999999999999"/>
    <n v="0.65"/>
    <n v="0.42"/>
    <n v="1.03"/>
    <n v="1"/>
    <n v="5"/>
    <n v="1"/>
    <n v="5.16"/>
    <n v="2.2199999999999998"/>
    <n v="2.78"/>
    <n v="0.69918699186991873"/>
    <n v="0.69918699186991873"/>
  </r>
  <r>
    <x v="172"/>
    <s v="June"/>
    <n v="25"/>
    <s v="Sunday"/>
    <n v="5.03"/>
    <n v="5.81"/>
    <n v="1.77"/>
    <n v="4.4000000000000004"/>
    <n v="1.42"/>
    <n v="0.22"/>
    <n v="0.3"/>
    <n v="6"/>
    <n v="5"/>
    <n v="1"/>
    <n v="7.1"/>
    <n v="6.04"/>
    <n v="3.5270000000000001"/>
    <n v="0.54033485540334847"/>
    <n v="0.54033485540334847"/>
  </r>
  <r>
    <x v="173"/>
    <s v="June"/>
    <n v="26"/>
    <s v="Monday"/>
    <n v="4.26"/>
    <n v="6.93"/>
    <n v="0.59"/>
    <n v="1.72"/>
    <n v="0.45"/>
    <n v="1.96"/>
    <n v="1.1499999999999999"/>
    <n v="6"/>
    <n v="7"/>
    <n v="0.8571428571428571"/>
    <n v="6"/>
    <n v="4.13"/>
    <n v="3.6839999999999993"/>
    <n v="0.59230009871668321"/>
    <n v="0.59230009871668321"/>
  </r>
  <r>
    <x v="174"/>
    <s v="June"/>
    <n v="26"/>
    <s v="Tuesday"/>
    <n v="2.2599999999999998"/>
    <n v="5.29"/>
    <n v="0.03"/>
    <n v="1.82"/>
    <n v="1.21"/>
    <n v="0.88"/>
    <n v="0.3"/>
    <n v="2"/>
    <n v="7"/>
    <n v="0.36999999999999994"/>
    <n v="2.5899999999999994"/>
    <n v="3.91"/>
    <n v="2.1939999999999995"/>
    <n v="0.39846153846153837"/>
    <n v="0.39846153846153837"/>
  </r>
  <r>
    <x v="175"/>
    <s v="June"/>
    <n v="26"/>
    <s v="Wednesday"/>
    <n v="4.62"/>
    <n v="7.16"/>
    <n v="0.51"/>
    <n v="4.17"/>
    <n v="2.75"/>
    <n v="0.41"/>
    <n v="0.73"/>
    <n v="4"/>
    <n v="7"/>
    <n v="0.83714285714285708"/>
    <n v="5.8599999999999994"/>
    <n v="7.33"/>
    <n v="3.4060000000000006"/>
    <n v="0.44427596664139496"/>
    <n v="0.44427596664139496"/>
  </r>
  <r>
    <x v="176"/>
    <s v="June"/>
    <n v="26"/>
    <s v="Thursday"/>
    <n v="4.16"/>
    <n v="8.9700000000000006"/>
    <n v="1.84"/>
    <n v="4.58"/>
    <n v="0.45"/>
    <n v="0.26"/>
    <n v="1.29"/>
    <n v="6"/>
    <n v="7"/>
    <n v="1"/>
    <n v="7.29"/>
    <n v="5.29"/>
    <n v="4.2200000000000006"/>
    <n v="0.57949125596184414"/>
    <n v="0.57949125596184414"/>
  </r>
  <r>
    <x v="177"/>
    <s v="June"/>
    <n v="26"/>
    <s v="Friday"/>
    <n v="3.45"/>
    <n v="6.65"/>
    <n v="0.69"/>
    <n v="1.84"/>
    <n v="2.68"/>
    <n v="0.33"/>
    <n v="1.73"/>
    <n v="3"/>
    <n v="7"/>
    <n v="0.83857142857142841"/>
    <n v="5.8699999999999992"/>
    <n v="4.8500000000000005"/>
    <n v="3.0609999999999999"/>
    <n v="0.5475746268656716"/>
    <n v="0.5475746268656716"/>
  </r>
  <r>
    <x v="178"/>
    <s v="June"/>
    <n v="26"/>
    <s v="Saturday"/>
    <n v="3.79"/>
    <n v="8.1199999999999992"/>
    <n v="0.56000000000000005"/>
    <n v="1.41"/>
    <n v="1.29"/>
    <n v="1.88"/>
    <n v="1.9"/>
    <n v="3"/>
    <n v="5"/>
    <n v="1"/>
    <n v="6.25"/>
    <n v="4.58"/>
    <n v="3.7939999999999992"/>
    <n v="0.57710064635272396"/>
    <n v="0.57710064635272396"/>
  </r>
  <r>
    <x v="179"/>
    <s v="June"/>
    <n v="26"/>
    <s v="Sunday"/>
    <n v="4.68"/>
    <n v="7.42"/>
    <n v="1.01"/>
    <n v="4.33"/>
    <n v="2.67"/>
    <n v="0.57999999999999996"/>
    <n v="1.24"/>
    <n v="10"/>
    <n v="5"/>
    <n v="1"/>
    <n v="6.93"/>
    <n v="7.58"/>
    <n v="3.5999999999999996"/>
    <n v="0.47760165403170224"/>
    <n v="0.4776016540317022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d v="2025-01-01T00:00:00"/>
    <s v="January"/>
    <n v="1"/>
    <x v="0"/>
    <n v="0.67"/>
    <n v="0.3"/>
    <n v="9"/>
    <n v="7"/>
    <n v="0.64142857142857146"/>
    <n v="4.49"/>
    <n v="5.3900000000000006"/>
    <n v="2.7459999999999996"/>
    <n v="0.45445344129554655"/>
    <x v="0"/>
    <n v="2.75"/>
  </r>
  <r>
    <d v="2025-01-01T00:00:00"/>
    <s v="January"/>
    <n v="1"/>
    <x v="0"/>
    <n v="0.67"/>
    <n v="0.3"/>
    <n v="9"/>
    <n v="7"/>
    <n v="0.64142857142857146"/>
    <n v="4.49"/>
    <n v="5.3900000000000006"/>
    <n v="2.7459999999999996"/>
    <n v="0.45445344129554655"/>
    <x v="1"/>
    <n v="6.1"/>
  </r>
  <r>
    <d v="2025-01-01T00:00:00"/>
    <s v="January"/>
    <n v="1"/>
    <x v="0"/>
    <n v="0.67"/>
    <n v="0.3"/>
    <n v="9"/>
    <n v="7"/>
    <n v="0.64142857142857146"/>
    <n v="4.49"/>
    <n v="5.3900000000000006"/>
    <n v="2.7459999999999996"/>
    <n v="0.45445344129554655"/>
    <x v="2"/>
    <n v="1.44"/>
  </r>
  <r>
    <d v="2025-01-01T00:00:00"/>
    <s v="January"/>
    <n v="1"/>
    <x v="0"/>
    <n v="0.67"/>
    <n v="0.3"/>
    <n v="9"/>
    <n v="7"/>
    <n v="0.64142857142857146"/>
    <n v="4.49"/>
    <n v="5.3900000000000006"/>
    <n v="2.7459999999999996"/>
    <n v="0.45445344129554655"/>
    <x v="3"/>
    <n v="4.3600000000000003"/>
  </r>
  <r>
    <d v="2025-01-01T00:00:00"/>
    <s v="January"/>
    <n v="1"/>
    <x v="0"/>
    <n v="0.67"/>
    <n v="0.3"/>
    <n v="9"/>
    <n v="7"/>
    <n v="0.64142857142857146"/>
    <n v="4.49"/>
    <n v="5.3900000000000006"/>
    <n v="2.7459999999999996"/>
    <n v="0.45445344129554655"/>
    <x v="4"/>
    <n v="0.36"/>
  </r>
  <r>
    <d v="2025-01-02T00:00:00"/>
    <s v="January"/>
    <n v="1"/>
    <x v="1"/>
    <n v="1.88"/>
    <n v="1.63"/>
    <n v="6"/>
    <n v="7"/>
    <n v="0.66857142857142848"/>
    <n v="4.68"/>
    <n v="6.14"/>
    <n v="2.6129999999999995"/>
    <n v="0.43253234750462105"/>
    <x v="0"/>
    <n v="1.87"/>
  </r>
  <r>
    <d v="2025-01-02T00:00:00"/>
    <s v="January"/>
    <n v="1"/>
    <x v="1"/>
    <n v="1.88"/>
    <n v="1.63"/>
    <n v="6"/>
    <n v="7"/>
    <n v="0.66857142857142848"/>
    <n v="4.68"/>
    <n v="6.14"/>
    <n v="2.6129999999999995"/>
    <n v="0.43253234750462105"/>
    <x v="1"/>
    <n v="6.85"/>
  </r>
  <r>
    <d v="2025-01-02T00:00:00"/>
    <s v="January"/>
    <n v="1"/>
    <x v="1"/>
    <n v="1.88"/>
    <n v="1.63"/>
    <n v="6"/>
    <n v="7"/>
    <n v="0.66857142857142848"/>
    <n v="4.68"/>
    <n v="6.14"/>
    <n v="2.6129999999999995"/>
    <n v="0.43253234750462105"/>
    <x v="2"/>
    <n v="1.18"/>
  </r>
  <r>
    <d v="2025-01-02T00:00:00"/>
    <s v="January"/>
    <n v="1"/>
    <x v="1"/>
    <n v="1.88"/>
    <n v="1.63"/>
    <n v="6"/>
    <n v="7"/>
    <n v="0.66857142857142848"/>
    <n v="4.68"/>
    <n v="6.14"/>
    <n v="2.6129999999999995"/>
    <n v="0.43253234750462105"/>
    <x v="3"/>
    <n v="3.1"/>
  </r>
  <r>
    <d v="2025-01-02T00:00:00"/>
    <s v="January"/>
    <n v="1"/>
    <x v="1"/>
    <n v="1.88"/>
    <n v="1.63"/>
    <n v="6"/>
    <n v="7"/>
    <n v="0.66857142857142848"/>
    <n v="4.68"/>
    <n v="6.14"/>
    <n v="2.6129999999999995"/>
    <n v="0.43253234750462105"/>
    <x v="4"/>
    <n v="1.1599999999999999"/>
  </r>
  <r>
    <d v="2025-01-03T00:00:00"/>
    <s v="January"/>
    <n v="1"/>
    <x v="2"/>
    <n v="0.48"/>
    <n v="1.1599999999999999"/>
    <n v="7"/>
    <n v="7"/>
    <n v="0.94714285714285718"/>
    <n v="6.63"/>
    <n v="5.98"/>
    <n v="3.6809999999999992"/>
    <n v="0.52577319587628868"/>
    <x v="0"/>
    <n v="4.93"/>
  </r>
  <r>
    <d v="2025-01-03T00:00:00"/>
    <s v="January"/>
    <n v="1"/>
    <x v="2"/>
    <n v="0.48"/>
    <n v="1.1599999999999999"/>
    <n v="7"/>
    <n v="7"/>
    <n v="0.94714285714285718"/>
    <n v="6.63"/>
    <n v="5.98"/>
    <n v="3.6809999999999992"/>
    <n v="0.52577319587628868"/>
    <x v="1"/>
    <n v="7.17"/>
  </r>
  <r>
    <d v="2025-01-03T00:00:00"/>
    <s v="January"/>
    <n v="1"/>
    <x v="2"/>
    <n v="0.48"/>
    <n v="1.1599999999999999"/>
    <n v="7"/>
    <n v="7"/>
    <n v="0.94714285714285718"/>
    <n v="6.63"/>
    <n v="5.98"/>
    <n v="3.6809999999999992"/>
    <n v="0.52577319587628868"/>
    <x v="2"/>
    <n v="0.54"/>
  </r>
  <r>
    <d v="2025-01-03T00:00:00"/>
    <s v="January"/>
    <n v="1"/>
    <x v="2"/>
    <n v="0.48"/>
    <n v="1.1599999999999999"/>
    <n v="7"/>
    <n v="7"/>
    <n v="0.94714285714285718"/>
    <n v="6.63"/>
    <n v="5.98"/>
    <n v="3.6809999999999992"/>
    <n v="0.52577319587628868"/>
    <x v="3"/>
    <n v="4.99"/>
  </r>
  <r>
    <d v="2025-01-03T00:00:00"/>
    <s v="January"/>
    <n v="1"/>
    <x v="2"/>
    <n v="0.48"/>
    <n v="1.1599999999999999"/>
    <n v="7"/>
    <n v="7"/>
    <n v="0.94714285714285718"/>
    <n v="6.63"/>
    <n v="5.98"/>
    <n v="3.6809999999999992"/>
    <n v="0.52577319587628868"/>
    <x v="4"/>
    <n v="0.51"/>
  </r>
  <r>
    <d v="2025-01-04T00:00:00"/>
    <s v="January"/>
    <n v="1"/>
    <x v="3"/>
    <n v="1.52"/>
    <n v="0.41"/>
    <n v="6"/>
    <n v="5"/>
    <n v="1"/>
    <n v="8.34"/>
    <n v="6.51"/>
    <n v="4.6399999999999997"/>
    <n v="0.56161616161616157"/>
    <x v="0"/>
    <n v="5.96"/>
  </r>
  <r>
    <d v="2025-01-04T00:00:00"/>
    <s v="January"/>
    <n v="1"/>
    <x v="3"/>
    <n v="1.52"/>
    <n v="0.41"/>
    <n v="6"/>
    <n v="5"/>
    <n v="1"/>
    <n v="8.34"/>
    <n v="6.51"/>
    <n v="4.6399999999999997"/>
    <n v="0.56161616161616157"/>
    <x v="1"/>
    <n v="7.87"/>
  </r>
  <r>
    <d v="2025-01-04T00:00:00"/>
    <s v="January"/>
    <n v="1"/>
    <x v="3"/>
    <n v="1.52"/>
    <n v="0.41"/>
    <n v="6"/>
    <n v="5"/>
    <n v="1"/>
    <n v="8.34"/>
    <n v="6.51"/>
    <n v="4.6399999999999997"/>
    <n v="0.56161616161616157"/>
    <x v="2"/>
    <n v="1.97"/>
  </r>
  <r>
    <d v="2025-01-04T00:00:00"/>
    <s v="January"/>
    <n v="1"/>
    <x v="3"/>
    <n v="1.52"/>
    <n v="0.41"/>
    <n v="6"/>
    <n v="5"/>
    <n v="1"/>
    <n v="8.34"/>
    <n v="6.51"/>
    <n v="4.6399999999999997"/>
    <n v="0.56161616161616157"/>
    <x v="3"/>
    <n v="4.71"/>
  </r>
  <r>
    <d v="2025-01-04T00:00:00"/>
    <s v="January"/>
    <n v="1"/>
    <x v="3"/>
    <n v="1.52"/>
    <n v="0.41"/>
    <n v="6"/>
    <n v="5"/>
    <n v="1"/>
    <n v="8.34"/>
    <n v="6.51"/>
    <n v="4.6399999999999997"/>
    <n v="0.56161616161616157"/>
    <x v="4"/>
    <n v="0.28000000000000003"/>
  </r>
  <r>
    <d v="2025-01-05T00:00:00"/>
    <s v="January"/>
    <n v="1"/>
    <x v="4"/>
    <n v="1.65"/>
    <n v="1.18"/>
    <n v="10"/>
    <n v="5"/>
    <n v="1"/>
    <n v="5.6999999999999993"/>
    <n v="4.1199999999999992"/>
    <n v="3.6260000000000003"/>
    <n v="0.58044806517311609"/>
    <x v="0"/>
    <n v="4"/>
  </r>
  <r>
    <d v="2025-01-05T00:00:00"/>
    <s v="January"/>
    <n v="1"/>
    <x v="4"/>
    <n v="1.65"/>
    <n v="1.18"/>
    <n v="10"/>
    <n v="5"/>
    <n v="1"/>
    <n v="5.6999999999999993"/>
    <n v="4.1199999999999992"/>
    <n v="3.6260000000000003"/>
    <n v="0.58044806517311609"/>
    <x v="1"/>
    <n v="7.23"/>
  </r>
  <r>
    <d v="2025-01-05T00:00:00"/>
    <s v="January"/>
    <n v="1"/>
    <x v="4"/>
    <n v="1.65"/>
    <n v="1.18"/>
    <n v="10"/>
    <n v="5"/>
    <n v="1"/>
    <n v="5.6999999999999993"/>
    <n v="4.1199999999999992"/>
    <n v="3.6260000000000003"/>
    <n v="0.58044806517311609"/>
    <x v="2"/>
    <n v="0.52"/>
  </r>
  <r>
    <d v="2025-01-05T00:00:00"/>
    <s v="January"/>
    <n v="1"/>
    <x v="4"/>
    <n v="1.65"/>
    <n v="1.18"/>
    <n v="10"/>
    <n v="5"/>
    <n v="1"/>
    <n v="5.6999999999999993"/>
    <n v="4.1199999999999992"/>
    <n v="3.6260000000000003"/>
    <n v="0.58044806517311609"/>
    <x v="3"/>
    <n v="2.42"/>
  </r>
  <r>
    <d v="2025-01-05T00:00:00"/>
    <s v="January"/>
    <n v="1"/>
    <x v="4"/>
    <n v="1.65"/>
    <n v="1.18"/>
    <n v="10"/>
    <n v="5"/>
    <n v="1"/>
    <n v="5.6999999999999993"/>
    <n v="4.1199999999999992"/>
    <n v="3.6260000000000003"/>
    <n v="0.58044806517311609"/>
    <x v="4"/>
    <n v="0.05"/>
  </r>
  <r>
    <d v="2025-01-06T00:00:00"/>
    <s v="January"/>
    <n v="2"/>
    <x v="5"/>
    <n v="0.44"/>
    <n v="0.37"/>
    <n v="6"/>
    <n v="7"/>
    <n v="0.39285714285714285"/>
    <n v="2.75"/>
    <n v="5.69"/>
    <n v="2.6829999999999998"/>
    <n v="0.32582938388625587"/>
    <x v="0"/>
    <n v="1.36"/>
  </r>
  <r>
    <d v="2025-01-06T00:00:00"/>
    <s v="January"/>
    <n v="2"/>
    <x v="5"/>
    <n v="0.44"/>
    <n v="0.37"/>
    <n v="6"/>
    <n v="7"/>
    <n v="0.39285714285714285"/>
    <n v="2.75"/>
    <n v="5.69"/>
    <n v="2.6829999999999998"/>
    <n v="0.32582938388625587"/>
    <x v="1"/>
    <n v="8.1999999999999993"/>
  </r>
  <r>
    <d v="2025-01-06T00:00:00"/>
    <s v="January"/>
    <n v="2"/>
    <x v="5"/>
    <n v="0.44"/>
    <n v="0.37"/>
    <n v="6"/>
    <n v="7"/>
    <n v="0.39285714285714285"/>
    <n v="2.75"/>
    <n v="5.69"/>
    <n v="2.6829999999999998"/>
    <n v="0.32582938388625587"/>
    <x v="2"/>
    <n v="1.02"/>
  </r>
  <r>
    <d v="2025-01-06T00:00:00"/>
    <s v="January"/>
    <n v="2"/>
    <x v="5"/>
    <n v="0.44"/>
    <n v="0.37"/>
    <n v="6"/>
    <n v="7"/>
    <n v="0.39285714285714285"/>
    <n v="2.75"/>
    <n v="5.69"/>
    <n v="2.6829999999999998"/>
    <n v="0.32582938388625587"/>
    <x v="3"/>
    <n v="3.46"/>
  </r>
  <r>
    <d v="2025-01-06T00:00:00"/>
    <s v="January"/>
    <n v="2"/>
    <x v="5"/>
    <n v="0.44"/>
    <n v="0.37"/>
    <n v="6"/>
    <n v="7"/>
    <n v="0.39285714285714285"/>
    <n v="2.75"/>
    <n v="5.69"/>
    <n v="2.6829999999999998"/>
    <n v="0.32582938388625587"/>
    <x v="4"/>
    <n v="1.79"/>
  </r>
  <r>
    <d v="2025-01-07T00:00:00"/>
    <s v="January"/>
    <n v="2"/>
    <x v="6"/>
    <n v="0.75"/>
    <n v="0.44"/>
    <n v="3"/>
    <n v="7"/>
    <n v="0.85428571428571431"/>
    <n v="5.98"/>
    <n v="3.3"/>
    <n v="4.093"/>
    <n v="0.6443965517241379"/>
    <x v="0"/>
    <n v="4.32"/>
  </r>
  <r>
    <d v="2025-01-07T00:00:00"/>
    <s v="January"/>
    <n v="2"/>
    <x v="6"/>
    <n v="0.75"/>
    <n v="0.44"/>
    <n v="3"/>
    <n v="7"/>
    <n v="0.85428571428571431"/>
    <n v="5.98"/>
    <n v="3.3"/>
    <n v="4.093"/>
    <n v="0.6443965517241379"/>
    <x v="1"/>
    <n v="7.92"/>
  </r>
  <r>
    <d v="2025-01-07T00:00:00"/>
    <s v="January"/>
    <n v="2"/>
    <x v="6"/>
    <n v="0.75"/>
    <n v="0.44"/>
    <n v="3"/>
    <n v="7"/>
    <n v="0.85428571428571431"/>
    <n v="5.98"/>
    <n v="3.3"/>
    <n v="4.093"/>
    <n v="0.6443965517241379"/>
    <x v="2"/>
    <n v="1.22"/>
  </r>
  <r>
    <d v="2025-01-07T00:00:00"/>
    <s v="January"/>
    <n v="2"/>
    <x v="6"/>
    <n v="0.75"/>
    <n v="0.44"/>
    <n v="3"/>
    <n v="7"/>
    <n v="0.85428571428571431"/>
    <n v="5.98"/>
    <n v="3.3"/>
    <n v="4.093"/>
    <n v="0.6443965517241379"/>
    <x v="3"/>
    <n v="1.05"/>
  </r>
  <r>
    <d v="2025-01-07T00:00:00"/>
    <s v="January"/>
    <n v="2"/>
    <x v="6"/>
    <n v="0.75"/>
    <n v="0.44"/>
    <n v="3"/>
    <n v="7"/>
    <n v="0.85428571428571431"/>
    <n v="5.98"/>
    <n v="3.3"/>
    <n v="4.093"/>
    <n v="0.6443965517241379"/>
    <x v="4"/>
    <n v="1.5"/>
  </r>
  <r>
    <d v="2025-01-08T00:00:00"/>
    <s v="January"/>
    <n v="2"/>
    <x v="0"/>
    <n v="1.86"/>
    <n v="0.75"/>
    <n v="1"/>
    <n v="7"/>
    <n v="0.71"/>
    <n v="4.97"/>
    <n v="5.71"/>
    <n v="3.5549999999999997"/>
    <n v="0.46535580524344566"/>
    <x v="0"/>
    <n v="2.46"/>
  </r>
  <r>
    <d v="2025-01-08T00:00:00"/>
    <s v="January"/>
    <n v="2"/>
    <x v="0"/>
    <n v="1.86"/>
    <n v="0.75"/>
    <n v="1"/>
    <n v="7"/>
    <n v="0.71"/>
    <n v="4.97"/>
    <n v="5.71"/>
    <n v="3.5549999999999997"/>
    <n v="0.46535580524344566"/>
    <x v="1"/>
    <n v="8.68"/>
  </r>
  <r>
    <d v="2025-01-08T00:00:00"/>
    <s v="January"/>
    <n v="2"/>
    <x v="0"/>
    <n v="1.86"/>
    <n v="0.75"/>
    <n v="1"/>
    <n v="7"/>
    <n v="0.71"/>
    <n v="4.97"/>
    <n v="5.71"/>
    <n v="3.5549999999999997"/>
    <n v="0.46535580524344566"/>
    <x v="2"/>
    <n v="1.76"/>
  </r>
  <r>
    <d v="2025-01-08T00:00:00"/>
    <s v="January"/>
    <n v="2"/>
    <x v="0"/>
    <n v="1.86"/>
    <n v="0.75"/>
    <n v="1"/>
    <n v="7"/>
    <n v="0.71"/>
    <n v="4.97"/>
    <n v="5.71"/>
    <n v="3.5549999999999997"/>
    <n v="0.46535580524344566"/>
    <x v="3"/>
    <n v="3.78"/>
  </r>
  <r>
    <d v="2025-01-08T00:00:00"/>
    <s v="January"/>
    <n v="2"/>
    <x v="0"/>
    <n v="1.86"/>
    <n v="0.75"/>
    <n v="1"/>
    <n v="7"/>
    <n v="0.71"/>
    <n v="4.97"/>
    <n v="5.71"/>
    <n v="3.5549999999999997"/>
    <n v="0.46535580524344566"/>
    <x v="4"/>
    <n v="7.0000000000000007E-2"/>
  </r>
  <r>
    <d v="2025-01-09T00:00:00"/>
    <s v="January"/>
    <n v="2"/>
    <x v="1"/>
    <n v="1.82"/>
    <n v="0.06"/>
    <n v="5"/>
    <n v="7"/>
    <n v="0.22142857142857145"/>
    <n v="1.55"/>
    <n v="5.69"/>
    <n v="2.7440000000000002"/>
    <n v="0.21408839779005526"/>
    <x v="0"/>
    <n v="1.43"/>
  </r>
  <r>
    <d v="2025-01-09T00:00:00"/>
    <s v="January"/>
    <n v="2"/>
    <x v="1"/>
    <n v="1.82"/>
    <n v="0.06"/>
    <n v="5"/>
    <n v="7"/>
    <n v="0.22142857142857145"/>
    <n v="1.55"/>
    <n v="5.69"/>
    <n v="2.7440000000000002"/>
    <n v="0.21408839779005526"/>
    <x v="1"/>
    <n v="8.49"/>
  </r>
  <r>
    <d v="2025-01-09T00:00:00"/>
    <s v="January"/>
    <n v="2"/>
    <x v="1"/>
    <n v="1.82"/>
    <n v="0.06"/>
    <n v="5"/>
    <n v="7"/>
    <n v="0.22142857142857145"/>
    <n v="1.55"/>
    <n v="5.69"/>
    <n v="2.7440000000000002"/>
    <n v="0.21408839779005526"/>
    <x v="2"/>
    <n v="0.06"/>
  </r>
  <r>
    <d v="2025-01-09T00:00:00"/>
    <s v="January"/>
    <n v="2"/>
    <x v="1"/>
    <n v="1.82"/>
    <n v="0.06"/>
    <n v="5"/>
    <n v="7"/>
    <n v="0.22142857142857145"/>
    <n v="1.55"/>
    <n v="5.69"/>
    <n v="2.7440000000000002"/>
    <n v="0.21408839779005526"/>
    <x v="3"/>
    <n v="2.92"/>
  </r>
  <r>
    <d v="2025-01-09T00:00:00"/>
    <s v="January"/>
    <n v="2"/>
    <x v="1"/>
    <n v="1.82"/>
    <n v="0.06"/>
    <n v="5"/>
    <n v="7"/>
    <n v="0.22142857142857145"/>
    <n v="1.55"/>
    <n v="5.69"/>
    <n v="2.7440000000000002"/>
    <n v="0.21408839779005526"/>
    <x v="4"/>
    <n v="0.95"/>
  </r>
  <r>
    <d v="2025-01-10T00:00:00"/>
    <s v="January"/>
    <n v="2"/>
    <x v="2"/>
    <n v="0.6"/>
    <n v="0.94"/>
    <n v="9"/>
    <n v="7"/>
    <n v="0.96285714285714286"/>
    <n v="6.74"/>
    <n v="4.34"/>
    <n v="3.548"/>
    <n v="0.60830324909747291"/>
    <x v="0"/>
    <n v="5.71"/>
  </r>
  <r>
    <d v="2025-01-10T00:00:00"/>
    <s v="January"/>
    <n v="2"/>
    <x v="2"/>
    <n v="0.6"/>
    <n v="0.94"/>
    <n v="9"/>
    <n v="7"/>
    <n v="0.96285714285714286"/>
    <n v="6.74"/>
    <n v="4.34"/>
    <n v="3.548"/>
    <n v="0.60830324909747291"/>
    <x v="1"/>
    <n v="5.4"/>
  </r>
  <r>
    <d v="2025-01-10T00:00:00"/>
    <s v="January"/>
    <n v="2"/>
    <x v="2"/>
    <n v="0.6"/>
    <n v="0.94"/>
    <n v="9"/>
    <n v="7"/>
    <n v="0.96285714285714286"/>
    <n v="6.74"/>
    <n v="4.34"/>
    <n v="3.548"/>
    <n v="0.60830324909747291"/>
    <x v="2"/>
    <n v="0.09"/>
  </r>
  <r>
    <d v="2025-01-10T00:00:00"/>
    <s v="January"/>
    <n v="2"/>
    <x v="2"/>
    <n v="0.6"/>
    <n v="0.94"/>
    <n v="9"/>
    <n v="7"/>
    <n v="0.96285714285714286"/>
    <n v="6.74"/>
    <n v="4.34"/>
    <n v="3.548"/>
    <n v="0.60830324909747291"/>
    <x v="3"/>
    <n v="1.52"/>
  </r>
  <r>
    <d v="2025-01-10T00:00:00"/>
    <s v="January"/>
    <n v="2"/>
    <x v="2"/>
    <n v="0.6"/>
    <n v="0.94"/>
    <n v="9"/>
    <n v="7"/>
    <n v="0.96285714285714286"/>
    <n v="6.74"/>
    <n v="4.34"/>
    <n v="3.548"/>
    <n v="0.60830324909747291"/>
    <x v="4"/>
    <n v="2.2200000000000002"/>
  </r>
  <r>
    <d v="2025-01-11T00:00:00"/>
    <s v="January"/>
    <n v="2"/>
    <x v="3"/>
    <n v="1.02"/>
    <n v="1.46"/>
    <n v="4"/>
    <n v="5"/>
    <n v="1"/>
    <n v="6.0799999999999992"/>
    <n v="4.9600000000000009"/>
    <n v="2.99"/>
    <n v="0.55072463768115942"/>
    <x v="0"/>
    <n v="2.73"/>
  </r>
  <r>
    <d v="2025-01-11T00:00:00"/>
    <s v="January"/>
    <n v="2"/>
    <x v="3"/>
    <n v="1.02"/>
    <n v="1.46"/>
    <n v="4"/>
    <n v="5"/>
    <n v="1"/>
    <n v="6.0799999999999992"/>
    <n v="4.9600000000000009"/>
    <n v="2.99"/>
    <n v="0.55072463768115942"/>
    <x v="1"/>
    <n v="6.38"/>
  </r>
  <r>
    <d v="2025-01-11T00:00:00"/>
    <s v="January"/>
    <n v="2"/>
    <x v="3"/>
    <n v="1.02"/>
    <n v="1.46"/>
    <n v="4"/>
    <n v="5"/>
    <n v="1"/>
    <n v="6.0799999999999992"/>
    <n v="4.9600000000000009"/>
    <n v="2.99"/>
    <n v="0.55072463768115942"/>
    <x v="2"/>
    <n v="1.89"/>
  </r>
  <r>
    <d v="2025-01-11T00:00:00"/>
    <s v="January"/>
    <n v="2"/>
    <x v="3"/>
    <n v="1.02"/>
    <n v="1.46"/>
    <n v="4"/>
    <n v="5"/>
    <n v="1"/>
    <n v="6.0799999999999992"/>
    <n v="4.9600000000000009"/>
    <n v="2.99"/>
    <n v="0.55072463768115942"/>
    <x v="3"/>
    <n v="1.24"/>
  </r>
  <r>
    <d v="2025-01-11T00:00:00"/>
    <s v="January"/>
    <n v="2"/>
    <x v="3"/>
    <n v="1.02"/>
    <n v="1.46"/>
    <n v="4"/>
    <n v="5"/>
    <n v="1"/>
    <n v="6.0799999999999992"/>
    <n v="4.9600000000000009"/>
    <n v="2.99"/>
    <n v="0.55072463768115942"/>
    <x v="4"/>
    <n v="2.7"/>
  </r>
  <r>
    <d v="2025-01-12T00:00:00"/>
    <s v="January"/>
    <n v="2"/>
    <x v="4"/>
    <n v="0.5"/>
    <n v="0.14000000000000001"/>
    <n v="3"/>
    <n v="5"/>
    <n v="1"/>
    <n v="6.08"/>
    <n v="2.69"/>
    <n v="3.4980000000000002"/>
    <n v="0.69327251995438999"/>
    <x v="0"/>
    <n v="4.95"/>
  </r>
  <r>
    <d v="2025-01-12T00:00:00"/>
    <s v="January"/>
    <n v="2"/>
    <x v="4"/>
    <n v="0.5"/>
    <n v="0.14000000000000001"/>
    <n v="3"/>
    <n v="5"/>
    <n v="1"/>
    <n v="6.08"/>
    <n v="2.69"/>
    <n v="3.4980000000000002"/>
    <n v="0.69327251995438999"/>
    <x v="1"/>
    <n v="5.13"/>
  </r>
  <r>
    <d v="2025-01-12T00:00:00"/>
    <s v="January"/>
    <n v="2"/>
    <x v="4"/>
    <n v="0.5"/>
    <n v="0.14000000000000001"/>
    <n v="3"/>
    <n v="5"/>
    <n v="1"/>
    <n v="6.08"/>
    <n v="2.69"/>
    <n v="3.4980000000000002"/>
    <n v="0.69327251995438999"/>
    <x v="2"/>
    <n v="0.99"/>
  </r>
  <r>
    <d v="2025-01-12T00:00:00"/>
    <s v="January"/>
    <n v="2"/>
    <x v="4"/>
    <n v="0.5"/>
    <n v="0.14000000000000001"/>
    <n v="3"/>
    <n v="5"/>
    <n v="1"/>
    <n v="6.08"/>
    <n v="2.69"/>
    <n v="3.4980000000000002"/>
    <n v="0.69327251995438999"/>
    <x v="3"/>
    <n v="1.32"/>
  </r>
  <r>
    <d v="2025-01-12T00:00:00"/>
    <s v="January"/>
    <n v="2"/>
    <x v="4"/>
    <n v="0.5"/>
    <n v="0.14000000000000001"/>
    <n v="3"/>
    <n v="5"/>
    <n v="1"/>
    <n v="6.08"/>
    <n v="2.69"/>
    <n v="3.4980000000000002"/>
    <n v="0.69327251995438999"/>
    <x v="4"/>
    <n v="0.87"/>
  </r>
  <r>
    <d v="2025-01-13T00:00:00"/>
    <s v="January"/>
    <n v="3"/>
    <x v="5"/>
    <n v="0.13"/>
    <n v="1.55"/>
    <n v="8"/>
    <n v="7"/>
    <n v="0.99142857142857144"/>
    <n v="6.94"/>
    <n v="2.2199999999999998"/>
    <n v="4.120000000000001"/>
    <n v="0.75764192139737996"/>
    <x v="0"/>
    <n v="4.3600000000000003"/>
  </r>
  <r>
    <d v="2025-01-13T00:00:00"/>
    <s v="January"/>
    <n v="3"/>
    <x v="5"/>
    <n v="0.13"/>
    <n v="1.55"/>
    <n v="8"/>
    <n v="7"/>
    <n v="0.99142857142857144"/>
    <n v="6.94"/>
    <n v="2.2199999999999998"/>
    <n v="4.120000000000001"/>
    <n v="0.75764192139737996"/>
    <x v="1"/>
    <n v="7.93"/>
  </r>
  <r>
    <d v="2025-01-13T00:00:00"/>
    <s v="January"/>
    <n v="3"/>
    <x v="5"/>
    <n v="0.13"/>
    <n v="1.55"/>
    <n v="8"/>
    <n v="7"/>
    <n v="0.99142857142857144"/>
    <n v="6.94"/>
    <n v="2.2199999999999998"/>
    <n v="4.120000000000001"/>
    <n v="0.75764192139737996"/>
    <x v="2"/>
    <n v="1.03"/>
  </r>
  <r>
    <d v="2025-01-13T00:00:00"/>
    <s v="January"/>
    <n v="3"/>
    <x v="5"/>
    <n v="0.13"/>
    <n v="1.55"/>
    <n v="8"/>
    <n v="7"/>
    <n v="0.99142857142857144"/>
    <n v="6.94"/>
    <n v="2.2199999999999998"/>
    <n v="4.120000000000001"/>
    <n v="0.75764192139737996"/>
    <x v="3"/>
    <n v="1.85"/>
  </r>
  <r>
    <d v="2025-01-13T00:00:00"/>
    <s v="January"/>
    <n v="3"/>
    <x v="5"/>
    <n v="0.13"/>
    <n v="1.55"/>
    <n v="8"/>
    <n v="7"/>
    <n v="0.99142857142857144"/>
    <n v="6.94"/>
    <n v="2.2199999999999998"/>
    <n v="4.120000000000001"/>
    <n v="0.75764192139737996"/>
    <x v="4"/>
    <n v="0.24"/>
  </r>
  <r>
    <d v="2025-01-14T00:00:00"/>
    <s v="January"/>
    <n v="3"/>
    <x v="6"/>
    <n v="1.46"/>
    <n v="1.53"/>
    <n v="6"/>
    <n v="7"/>
    <n v="0.64142857142857146"/>
    <n v="4.49"/>
    <n v="8.32"/>
    <n v="2.0870000000000002"/>
    <n v="0.35050741608118657"/>
    <x v="0"/>
    <n v="1.71"/>
  </r>
  <r>
    <d v="2025-01-14T00:00:00"/>
    <s v="January"/>
    <n v="3"/>
    <x v="6"/>
    <n v="1.46"/>
    <n v="1.53"/>
    <n v="6"/>
    <n v="7"/>
    <n v="0.64142857142857146"/>
    <n v="4.49"/>
    <n v="8.32"/>
    <n v="2.0870000000000002"/>
    <n v="0.35050741608118657"/>
    <x v="1"/>
    <n v="6.13"/>
  </r>
  <r>
    <d v="2025-01-14T00:00:00"/>
    <s v="January"/>
    <n v="3"/>
    <x v="6"/>
    <n v="1.46"/>
    <n v="1.53"/>
    <n v="6"/>
    <n v="7"/>
    <n v="0.64142857142857146"/>
    <n v="4.49"/>
    <n v="8.32"/>
    <n v="2.0870000000000002"/>
    <n v="0.35050741608118657"/>
    <x v="2"/>
    <n v="1.25"/>
  </r>
  <r>
    <d v="2025-01-14T00:00:00"/>
    <s v="January"/>
    <n v="3"/>
    <x v="6"/>
    <n v="1.46"/>
    <n v="1.53"/>
    <n v="6"/>
    <n v="7"/>
    <n v="0.64142857142857146"/>
    <n v="4.49"/>
    <n v="8.32"/>
    <n v="2.0870000000000002"/>
    <n v="0.35050741608118657"/>
    <x v="3"/>
    <n v="4.3600000000000003"/>
  </r>
  <r>
    <d v="2025-01-14T00:00:00"/>
    <s v="January"/>
    <n v="3"/>
    <x v="6"/>
    <n v="1.46"/>
    <n v="1.53"/>
    <n v="6"/>
    <n v="7"/>
    <n v="0.64142857142857146"/>
    <n v="4.49"/>
    <n v="8.32"/>
    <n v="2.0870000000000002"/>
    <n v="0.35050741608118657"/>
    <x v="4"/>
    <n v="2.5"/>
  </r>
  <r>
    <d v="2025-01-15T00:00:00"/>
    <s v="January"/>
    <n v="3"/>
    <x v="0"/>
    <n v="1.33"/>
    <n v="0.11"/>
    <n v="1"/>
    <n v="7"/>
    <n v="0.48142857142857143"/>
    <n v="3.37"/>
    <n v="7.7299999999999995"/>
    <n v="2.9420000000000002"/>
    <n v="0.30360360360360361"/>
    <x v="0"/>
    <n v="1.81"/>
  </r>
  <r>
    <d v="2025-01-15T00:00:00"/>
    <s v="January"/>
    <n v="3"/>
    <x v="0"/>
    <n v="1.33"/>
    <n v="0.11"/>
    <n v="1"/>
    <n v="7"/>
    <n v="0.48142857142857143"/>
    <n v="3.37"/>
    <n v="7.7299999999999995"/>
    <n v="2.9420000000000002"/>
    <n v="0.30360360360360361"/>
    <x v="1"/>
    <n v="8.56"/>
  </r>
  <r>
    <d v="2025-01-15T00:00:00"/>
    <s v="January"/>
    <n v="3"/>
    <x v="0"/>
    <n v="1.33"/>
    <n v="0.11"/>
    <n v="1"/>
    <n v="7"/>
    <n v="0.48142857142857143"/>
    <n v="3.37"/>
    <n v="7.7299999999999995"/>
    <n v="2.9420000000000002"/>
    <n v="0.30360360360360361"/>
    <x v="2"/>
    <n v="1.45"/>
  </r>
  <r>
    <d v="2025-01-15T00:00:00"/>
    <s v="January"/>
    <n v="3"/>
    <x v="0"/>
    <n v="1.33"/>
    <n v="0.11"/>
    <n v="1"/>
    <n v="7"/>
    <n v="0.48142857142857143"/>
    <n v="3.37"/>
    <n v="7.7299999999999995"/>
    <n v="2.9420000000000002"/>
    <n v="0.30360360360360361"/>
    <x v="3"/>
    <n v="4.72"/>
  </r>
  <r>
    <d v="2025-01-15T00:00:00"/>
    <s v="January"/>
    <n v="3"/>
    <x v="0"/>
    <n v="1.33"/>
    <n v="0.11"/>
    <n v="1"/>
    <n v="7"/>
    <n v="0.48142857142857143"/>
    <n v="3.37"/>
    <n v="7.7299999999999995"/>
    <n v="2.9420000000000002"/>
    <n v="0.30360360360360361"/>
    <x v="4"/>
    <n v="1.68"/>
  </r>
  <r>
    <d v="2025-01-16T00:00:00"/>
    <s v="January"/>
    <n v="3"/>
    <x v="1"/>
    <n v="1.73"/>
    <n v="1.31"/>
    <n v="5"/>
    <n v="7"/>
    <n v="0.92428571428571438"/>
    <n v="6.4700000000000006"/>
    <n v="7.59"/>
    <n v="2.9710000000000001"/>
    <n v="0.46017069701280233"/>
    <x v="0"/>
    <n v="3.64"/>
  </r>
  <r>
    <d v="2025-01-16T00:00:00"/>
    <s v="January"/>
    <n v="3"/>
    <x v="1"/>
    <n v="1.73"/>
    <n v="1.31"/>
    <n v="5"/>
    <n v="7"/>
    <n v="0.92428571428571438"/>
    <n v="6.4700000000000006"/>
    <n v="7.59"/>
    <n v="2.9710000000000001"/>
    <n v="0.46017069701280233"/>
    <x v="1"/>
    <n v="5.99"/>
  </r>
  <r>
    <d v="2025-01-16T00:00:00"/>
    <s v="January"/>
    <n v="3"/>
    <x v="1"/>
    <n v="1.73"/>
    <n v="1.31"/>
    <n v="5"/>
    <n v="7"/>
    <n v="0.92428571428571438"/>
    <n v="6.4700000000000006"/>
    <n v="7.59"/>
    <n v="2.9710000000000001"/>
    <n v="0.46017069701280233"/>
    <x v="2"/>
    <n v="1.52"/>
  </r>
  <r>
    <d v="2025-01-16T00:00:00"/>
    <s v="January"/>
    <n v="3"/>
    <x v="1"/>
    <n v="1.73"/>
    <n v="1.31"/>
    <n v="5"/>
    <n v="7"/>
    <n v="0.92428571428571438"/>
    <n v="6.4700000000000006"/>
    <n v="7.59"/>
    <n v="2.9710000000000001"/>
    <n v="0.46017069701280233"/>
    <x v="3"/>
    <n v="3.28"/>
  </r>
  <r>
    <d v="2025-01-16T00:00:00"/>
    <s v="January"/>
    <n v="3"/>
    <x v="1"/>
    <n v="1.73"/>
    <n v="1.31"/>
    <n v="5"/>
    <n v="7"/>
    <n v="0.92428571428571438"/>
    <n v="6.4700000000000006"/>
    <n v="7.59"/>
    <n v="2.9710000000000001"/>
    <n v="0.46017069701280233"/>
    <x v="4"/>
    <n v="2.58"/>
  </r>
  <r>
    <d v="2025-01-17T00:00:00"/>
    <s v="January"/>
    <n v="3"/>
    <x v="2"/>
    <n v="7.0000000000000007E-2"/>
    <n v="0.08"/>
    <n v="2"/>
    <n v="7"/>
    <n v="0.50428571428571423"/>
    <n v="3.53"/>
    <n v="7.67"/>
    <n v="2.0720000000000001"/>
    <n v="0.31517857142857142"/>
    <x v="0"/>
    <n v="2.2799999999999998"/>
  </r>
  <r>
    <d v="2025-01-17T00:00:00"/>
    <s v="January"/>
    <n v="3"/>
    <x v="2"/>
    <n v="7.0000000000000007E-2"/>
    <n v="0.08"/>
    <n v="2"/>
    <n v="7"/>
    <n v="0.50428571428571423"/>
    <n v="3.53"/>
    <n v="7.67"/>
    <n v="2.0720000000000001"/>
    <n v="0.31517857142857142"/>
    <x v="1"/>
    <n v="5.62"/>
  </r>
  <r>
    <d v="2025-01-17T00:00:00"/>
    <s v="January"/>
    <n v="3"/>
    <x v="2"/>
    <n v="7.0000000000000007E-2"/>
    <n v="0.08"/>
    <n v="2"/>
    <n v="7"/>
    <n v="0.50428571428571423"/>
    <n v="3.53"/>
    <n v="7.67"/>
    <n v="2.0720000000000001"/>
    <n v="0.31517857142857142"/>
    <x v="2"/>
    <n v="1.17"/>
  </r>
  <r>
    <d v="2025-01-17T00:00:00"/>
    <s v="January"/>
    <n v="3"/>
    <x v="2"/>
    <n v="7.0000000000000007E-2"/>
    <n v="0.08"/>
    <n v="2"/>
    <n v="7"/>
    <n v="0.50428571428571423"/>
    <n v="3.53"/>
    <n v="7.67"/>
    <n v="2.0720000000000001"/>
    <n v="0.31517857142857142"/>
    <x v="3"/>
    <n v="4.99"/>
  </r>
  <r>
    <d v="2025-01-17T00:00:00"/>
    <s v="January"/>
    <n v="3"/>
    <x v="2"/>
    <n v="7.0000000000000007E-2"/>
    <n v="0.08"/>
    <n v="2"/>
    <n v="7"/>
    <n v="0.50428571428571423"/>
    <n v="3.53"/>
    <n v="7.67"/>
    <n v="2.0720000000000001"/>
    <n v="0.31517857142857142"/>
    <x v="4"/>
    <n v="2.61"/>
  </r>
  <r>
    <d v="2025-01-18T00:00:00"/>
    <s v="January"/>
    <n v="3"/>
    <x v="3"/>
    <n v="1.97"/>
    <n v="0.87"/>
    <n v="7"/>
    <n v="5"/>
    <n v="0.81400000000000006"/>
    <n v="4.07"/>
    <n v="6.29"/>
    <n v="2.339"/>
    <n v="0.3928571428571429"/>
    <x v="0"/>
    <n v="2"/>
  </r>
  <r>
    <d v="2025-01-18T00:00:00"/>
    <s v="January"/>
    <n v="3"/>
    <x v="3"/>
    <n v="1.97"/>
    <n v="0.87"/>
    <n v="7"/>
    <n v="5"/>
    <n v="0.81400000000000006"/>
    <n v="4.07"/>
    <n v="6.29"/>
    <n v="2.339"/>
    <n v="0.3928571428571429"/>
    <x v="1"/>
    <n v="5.77"/>
  </r>
  <r>
    <d v="2025-01-18T00:00:00"/>
    <s v="January"/>
    <n v="3"/>
    <x v="3"/>
    <n v="1.97"/>
    <n v="0.87"/>
    <n v="7"/>
    <n v="5"/>
    <n v="0.81400000000000006"/>
    <n v="4.07"/>
    <n v="6.29"/>
    <n v="2.339"/>
    <n v="0.3928571428571429"/>
    <x v="2"/>
    <n v="1.2"/>
  </r>
  <r>
    <d v="2025-01-18T00:00:00"/>
    <s v="January"/>
    <n v="3"/>
    <x v="3"/>
    <n v="1.97"/>
    <n v="0.87"/>
    <n v="7"/>
    <n v="5"/>
    <n v="0.81400000000000006"/>
    <n v="4.07"/>
    <n v="6.29"/>
    <n v="2.339"/>
    <n v="0.3928571428571429"/>
    <x v="3"/>
    <n v="3.49"/>
  </r>
  <r>
    <d v="2025-01-18T00:00:00"/>
    <s v="January"/>
    <n v="3"/>
    <x v="3"/>
    <n v="1.97"/>
    <n v="0.87"/>
    <n v="7"/>
    <n v="5"/>
    <n v="0.81400000000000006"/>
    <n v="4.07"/>
    <n v="6.29"/>
    <n v="2.339"/>
    <n v="0.3928571428571429"/>
    <x v="4"/>
    <n v="0.83"/>
  </r>
  <r>
    <d v="2025-01-19T00:00:00"/>
    <s v="January"/>
    <n v="3"/>
    <x v="4"/>
    <n v="0.33"/>
    <n v="1.88"/>
    <n v="1"/>
    <n v="5"/>
    <n v="1"/>
    <n v="7.1"/>
    <n v="6.8500000000000005"/>
    <n v="3.4349999999999996"/>
    <n v="0.50896057347670254"/>
    <x v="0"/>
    <n v="4.22"/>
  </r>
  <r>
    <d v="2025-01-19T00:00:00"/>
    <s v="January"/>
    <n v="3"/>
    <x v="4"/>
    <n v="0.33"/>
    <n v="1.88"/>
    <n v="1"/>
    <n v="5"/>
    <n v="1"/>
    <n v="7.1"/>
    <n v="6.8500000000000005"/>
    <n v="3.4349999999999996"/>
    <n v="0.50896057347670254"/>
    <x v="1"/>
    <n v="7.33"/>
  </r>
  <r>
    <d v="2025-01-19T00:00:00"/>
    <s v="January"/>
    <n v="3"/>
    <x v="4"/>
    <n v="0.33"/>
    <n v="1.88"/>
    <n v="1"/>
    <n v="5"/>
    <n v="1"/>
    <n v="7.1"/>
    <n v="6.8500000000000005"/>
    <n v="3.4349999999999996"/>
    <n v="0.50896057347670254"/>
    <x v="2"/>
    <n v="1"/>
  </r>
  <r>
    <d v="2025-01-19T00:00:00"/>
    <s v="January"/>
    <n v="3"/>
    <x v="4"/>
    <n v="0.33"/>
    <n v="1.88"/>
    <n v="1"/>
    <n v="5"/>
    <n v="1"/>
    <n v="7.1"/>
    <n v="6.8500000000000005"/>
    <n v="3.4349999999999996"/>
    <n v="0.50896057347670254"/>
    <x v="3"/>
    <n v="4.57"/>
  </r>
  <r>
    <d v="2025-01-19T00:00:00"/>
    <s v="January"/>
    <n v="3"/>
    <x v="4"/>
    <n v="0.33"/>
    <n v="1.88"/>
    <n v="1"/>
    <n v="5"/>
    <n v="1"/>
    <n v="7.1"/>
    <n v="6.8500000000000005"/>
    <n v="3.4349999999999996"/>
    <n v="0.50896057347670254"/>
    <x v="4"/>
    <n v="1.95"/>
  </r>
  <r>
    <d v="2025-01-20T00:00:00"/>
    <s v="January"/>
    <n v="4"/>
    <x v="5"/>
    <n v="1.29"/>
    <n v="0.8"/>
    <n v="9"/>
    <n v="7"/>
    <n v="0.42428571428571427"/>
    <n v="2.9699999999999998"/>
    <n v="6.38"/>
    <n v="2.8589999999999995"/>
    <n v="0.31764705882352939"/>
    <x v="0"/>
    <n v="1.92"/>
  </r>
  <r>
    <d v="2025-01-20T00:00:00"/>
    <s v="January"/>
    <n v="4"/>
    <x v="5"/>
    <n v="1.29"/>
    <n v="0.8"/>
    <n v="9"/>
    <n v="7"/>
    <n v="0.42428571428571427"/>
    <n v="2.9699999999999998"/>
    <n v="6.38"/>
    <n v="2.8589999999999995"/>
    <n v="0.31764705882352939"/>
    <x v="1"/>
    <n v="8.5"/>
  </r>
  <r>
    <d v="2025-01-20T00:00:00"/>
    <s v="January"/>
    <n v="4"/>
    <x v="5"/>
    <n v="1.29"/>
    <n v="0.8"/>
    <n v="9"/>
    <n v="7"/>
    <n v="0.42428571428571427"/>
    <n v="2.9699999999999998"/>
    <n v="6.38"/>
    <n v="2.8589999999999995"/>
    <n v="0.31764705882352939"/>
    <x v="2"/>
    <n v="0.25"/>
  </r>
  <r>
    <d v="2025-01-20T00:00:00"/>
    <s v="January"/>
    <n v="4"/>
    <x v="5"/>
    <n v="1.29"/>
    <n v="0.8"/>
    <n v="9"/>
    <n v="7"/>
    <n v="0.42428571428571427"/>
    <n v="2.9699999999999998"/>
    <n v="6.38"/>
    <n v="2.8589999999999995"/>
    <n v="0.31764705882352939"/>
    <x v="3"/>
    <n v="3.64"/>
  </r>
  <r>
    <d v="2025-01-20T00:00:00"/>
    <s v="January"/>
    <n v="4"/>
    <x v="5"/>
    <n v="1.29"/>
    <n v="0.8"/>
    <n v="9"/>
    <n v="7"/>
    <n v="0.42428571428571427"/>
    <n v="2.9699999999999998"/>
    <n v="6.38"/>
    <n v="2.8589999999999995"/>
    <n v="0.31764705882352939"/>
    <x v="4"/>
    <n v="1.45"/>
  </r>
  <r>
    <d v="2025-01-21T00:00:00"/>
    <s v="January"/>
    <n v="4"/>
    <x v="6"/>
    <n v="0.49"/>
    <n v="0.28000000000000003"/>
    <n v="2"/>
    <n v="7"/>
    <n v="0.75428571428571434"/>
    <n v="5.28"/>
    <n v="6.95"/>
    <n v="2.899"/>
    <n v="0.43172526573998365"/>
    <x v="0"/>
    <n v="3.89"/>
  </r>
  <r>
    <d v="2025-01-21T00:00:00"/>
    <s v="January"/>
    <n v="4"/>
    <x v="6"/>
    <n v="0.49"/>
    <n v="0.28000000000000003"/>
    <n v="2"/>
    <n v="7"/>
    <n v="0.75428571428571434"/>
    <n v="5.28"/>
    <n v="6.95"/>
    <n v="2.899"/>
    <n v="0.43172526573998365"/>
    <x v="1"/>
    <n v="5.89"/>
  </r>
  <r>
    <d v="2025-01-21T00:00:00"/>
    <s v="January"/>
    <n v="4"/>
    <x v="6"/>
    <n v="0.49"/>
    <n v="0.28000000000000003"/>
    <n v="2"/>
    <n v="7"/>
    <n v="0.75428571428571434"/>
    <n v="5.28"/>
    <n v="6.95"/>
    <n v="2.899"/>
    <n v="0.43172526573998365"/>
    <x v="2"/>
    <n v="1.1100000000000001"/>
  </r>
  <r>
    <d v="2025-01-21T00:00:00"/>
    <s v="January"/>
    <n v="4"/>
    <x v="6"/>
    <n v="0.49"/>
    <n v="0.28000000000000003"/>
    <n v="2"/>
    <n v="7"/>
    <n v="0.75428571428571434"/>
    <n v="5.28"/>
    <n v="6.95"/>
    <n v="2.899"/>
    <n v="0.43172526573998365"/>
    <x v="3"/>
    <n v="3.85"/>
  </r>
  <r>
    <d v="2025-01-21T00:00:00"/>
    <s v="January"/>
    <n v="4"/>
    <x v="6"/>
    <n v="0.49"/>
    <n v="0.28000000000000003"/>
    <n v="2"/>
    <n v="7"/>
    <n v="0.75428571428571434"/>
    <n v="5.28"/>
    <n v="6.95"/>
    <n v="2.899"/>
    <n v="0.43172526573998365"/>
    <x v="4"/>
    <n v="2.61"/>
  </r>
  <r>
    <d v="2025-01-22T00:00:00"/>
    <s v="January"/>
    <n v="4"/>
    <x v="0"/>
    <n v="0.71"/>
    <n v="1.77"/>
    <n v="8"/>
    <n v="7"/>
    <n v="1"/>
    <n v="8.2900000000000009"/>
    <n v="6.3"/>
    <n v="3.7590000000000003"/>
    <n v="0.56819739547635373"/>
    <x v="0"/>
    <n v="4.63"/>
  </r>
  <r>
    <d v="2025-01-22T00:00:00"/>
    <s v="January"/>
    <n v="4"/>
    <x v="0"/>
    <n v="0.71"/>
    <n v="1.77"/>
    <n v="8"/>
    <n v="7"/>
    <n v="1"/>
    <n v="8.2900000000000009"/>
    <n v="6.3"/>
    <n v="3.7590000000000003"/>
    <n v="0.56819739547635373"/>
    <x v="1"/>
    <n v="6.96"/>
  </r>
  <r>
    <d v="2025-01-22T00:00:00"/>
    <s v="January"/>
    <n v="4"/>
    <x v="0"/>
    <n v="0.71"/>
    <n v="1.77"/>
    <n v="8"/>
    <n v="7"/>
    <n v="1"/>
    <n v="8.2900000000000009"/>
    <n v="6.3"/>
    <n v="3.7590000000000003"/>
    <n v="0.56819739547635373"/>
    <x v="2"/>
    <n v="1.89"/>
  </r>
  <r>
    <d v="2025-01-22T00:00:00"/>
    <s v="January"/>
    <n v="4"/>
    <x v="0"/>
    <n v="0.71"/>
    <n v="1.77"/>
    <n v="8"/>
    <n v="7"/>
    <n v="1"/>
    <n v="8.2900000000000009"/>
    <n v="6.3"/>
    <n v="3.7590000000000003"/>
    <n v="0.56819739547635373"/>
    <x v="3"/>
    <n v="3.06"/>
  </r>
  <r>
    <d v="2025-01-22T00:00:00"/>
    <s v="January"/>
    <n v="4"/>
    <x v="0"/>
    <n v="0.71"/>
    <n v="1.77"/>
    <n v="8"/>
    <n v="7"/>
    <n v="1"/>
    <n v="8.2900000000000009"/>
    <n v="6.3"/>
    <n v="3.7590000000000003"/>
    <n v="0.56819739547635373"/>
    <x v="4"/>
    <n v="2.5299999999999998"/>
  </r>
  <r>
    <d v="2025-01-23T00:00:00"/>
    <s v="January"/>
    <n v="4"/>
    <x v="1"/>
    <n v="0.37"/>
    <n v="1.36"/>
    <n v="7"/>
    <n v="7"/>
    <n v="1"/>
    <n v="7.43"/>
    <n v="4.63"/>
    <n v="4.391"/>
    <n v="0.61608623548922059"/>
    <x v="0"/>
    <n v="4.92"/>
  </r>
  <r>
    <d v="2025-01-23T00:00:00"/>
    <s v="January"/>
    <n v="4"/>
    <x v="1"/>
    <n v="0.37"/>
    <n v="1.36"/>
    <n v="7"/>
    <n v="7"/>
    <n v="1"/>
    <n v="7.43"/>
    <n v="4.63"/>
    <n v="4.391"/>
    <n v="0.61608623548922059"/>
    <x v="1"/>
    <n v="8.73"/>
  </r>
  <r>
    <d v="2025-01-23T00:00:00"/>
    <s v="January"/>
    <n v="4"/>
    <x v="1"/>
    <n v="0.37"/>
    <n v="1.36"/>
    <n v="7"/>
    <n v="7"/>
    <n v="1"/>
    <n v="7.43"/>
    <n v="4.63"/>
    <n v="4.391"/>
    <n v="0.61608623548922059"/>
    <x v="2"/>
    <n v="1.1499999999999999"/>
  </r>
  <r>
    <d v="2025-01-23T00:00:00"/>
    <s v="January"/>
    <n v="4"/>
    <x v="1"/>
    <n v="0.37"/>
    <n v="1.36"/>
    <n v="7"/>
    <n v="7"/>
    <n v="1"/>
    <n v="7.43"/>
    <n v="4.63"/>
    <n v="4.391"/>
    <n v="0.61608623548922059"/>
    <x v="3"/>
    <n v="3.37"/>
  </r>
  <r>
    <d v="2025-01-23T00:00:00"/>
    <s v="January"/>
    <n v="4"/>
    <x v="1"/>
    <n v="0.37"/>
    <n v="1.36"/>
    <n v="7"/>
    <n v="7"/>
    <n v="1"/>
    <n v="7.43"/>
    <n v="4.63"/>
    <n v="4.391"/>
    <n v="0.61608623548922059"/>
    <x v="4"/>
    <n v="0.89"/>
  </r>
  <r>
    <d v="2025-01-24T00:00:00"/>
    <s v="January"/>
    <n v="4"/>
    <x v="2"/>
    <n v="0.68"/>
    <n v="1.87"/>
    <n v="1"/>
    <n v="7"/>
    <n v="0.79285714285714282"/>
    <n v="5.55"/>
    <n v="6.27"/>
    <n v="2.63"/>
    <n v="0.46954314720812179"/>
    <x v="0"/>
    <n v="2.02"/>
  </r>
  <r>
    <d v="2025-01-24T00:00:00"/>
    <s v="January"/>
    <n v="4"/>
    <x v="2"/>
    <n v="0.68"/>
    <n v="1.87"/>
    <n v="1"/>
    <n v="7"/>
    <n v="0.79285714285714282"/>
    <n v="5.55"/>
    <n v="6.27"/>
    <n v="2.63"/>
    <n v="0.46954314720812179"/>
    <x v="1"/>
    <n v="6.83"/>
  </r>
  <r>
    <d v="2025-01-24T00:00:00"/>
    <s v="January"/>
    <n v="4"/>
    <x v="2"/>
    <n v="0.68"/>
    <n v="1.87"/>
    <n v="1"/>
    <n v="7"/>
    <n v="0.79285714285714282"/>
    <n v="5.55"/>
    <n v="6.27"/>
    <n v="2.63"/>
    <n v="0.46954314720812179"/>
    <x v="2"/>
    <n v="1.66"/>
  </r>
  <r>
    <d v="2025-01-24T00:00:00"/>
    <s v="January"/>
    <n v="4"/>
    <x v="2"/>
    <n v="0.68"/>
    <n v="1.87"/>
    <n v="1"/>
    <n v="7"/>
    <n v="0.79285714285714282"/>
    <n v="5.55"/>
    <n v="6.27"/>
    <n v="2.63"/>
    <n v="0.46954314720812179"/>
    <x v="3"/>
    <n v="3.31"/>
  </r>
  <r>
    <d v="2025-01-24T00:00:00"/>
    <s v="January"/>
    <n v="4"/>
    <x v="2"/>
    <n v="0.68"/>
    <n v="1.87"/>
    <n v="1"/>
    <n v="7"/>
    <n v="0.79285714285714282"/>
    <n v="5.55"/>
    <n v="6.27"/>
    <n v="2.63"/>
    <n v="0.46954314720812179"/>
    <x v="4"/>
    <n v="2.2799999999999998"/>
  </r>
  <r>
    <d v="2025-01-25T00:00:00"/>
    <s v="January"/>
    <n v="4"/>
    <x v="3"/>
    <n v="1.5"/>
    <n v="0.92"/>
    <n v="8"/>
    <n v="5"/>
    <n v="0.98999999999999988"/>
    <n v="4.9499999999999993"/>
    <n v="4.22"/>
    <n v="3.181"/>
    <n v="0.53980370774263908"/>
    <x v="0"/>
    <n v="4.01"/>
  </r>
  <r>
    <d v="2025-01-25T00:00:00"/>
    <s v="January"/>
    <n v="4"/>
    <x v="3"/>
    <n v="1.5"/>
    <n v="0.92"/>
    <n v="8"/>
    <n v="5"/>
    <n v="0.98999999999999988"/>
    <n v="4.9499999999999993"/>
    <n v="4.22"/>
    <n v="3.181"/>
    <n v="0.53980370774263908"/>
    <x v="1"/>
    <n v="6.15"/>
  </r>
  <r>
    <d v="2025-01-25T00:00:00"/>
    <s v="January"/>
    <n v="4"/>
    <x v="3"/>
    <n v="1.5"/>
    <n v="0.92"/>
    <n v="8"/>
    <n v="5"/>
    <n v="0.98999999999999988"/>
    <n v="4.9499999999999993"/>
    <n v="4.22"/>
    <n v="3.181"/>
    <n v="0.53980370774263908"/>
    <x v="2"/>
    <n v="0.02"/>
  </r>
  <r>
    <d v="2025-01-25T00:00:00"/>
    <s v="January"/>
    <n v="4"/>
    <x v="3"/>
    <n v="1.5"/>
    <n v="0.92"/>
    <n v="8"/>
    <n v="5"/>
    <n v="0.98999999999999988"/>
    <n v="4.9499999999999993"/>
    <n v="4.22"/>
    <n v="3.181"/>
    <n v="0.53980370774263908"/>
    <x v="3"/>
    <n v="1.43"/>
  </r>
  <r>
    <d v="2025-01-25T00:00:00"/>
    <s v="January"/>
    <n v="4"/>
    <x v="3"/>
    <n v="1.5"/>
    <n v="0.92"/>
    <n v="8"/>
    <n v="5"/>
    <n v="0.98999999999999988"/>
    <n v="4.9499999999999993"/>
    <n v="4.22"/>
    <n v="3.181"/>
    <n v="0.53980370774263908"/>
    <x v="4"/>
    <n v="1.29"/>
  </r>
  <r>
    <d v="2025-01-26T00:00:00"/>
    <s v="January"/>
    <n v="4"/>
    <x v="4"/>
    <n v="0.11"/>
    <n v="1.91"/>
    <n v="2"/>
    <n v="5"/>
    <n v="1"/>
    <n v="5.63"/>
    <n v="4.55"/>
    <n v="3.2910000000000004"/>
    <n v="0.55304518664047153"/>
    <x v="0"/>
    <n v="2.58"/>
  </r>
  <r>
    <d v="2025-01-26T00:00:00"/>
    <s v="January"/>
    <n v="4"/>
    <x v="4"/>
    <n v="0.11"/>
    <n v="1.91"/>
    <n v="2"/>
    <n v="5"/>
    <n v="1"/>
    <n v="5.63"/>
    <n v="4.55"/>
    <n v="3.2910000000000004"/>
    <n v="0.55304518664047153"/>
    <x v="1"/>
    <n v="8.25"/>
  </r>
  <r>
    <d v="2025-01-26T00:00:00"/>
    <s v="January"/>
    <n v="4"/>
    <x v="4"/>
    <n v="0.11"/>
    <n v="1.91"/>
    <n v="2"/>
    <n v="5"/>
    <n v="1"/>
    <n v="5.63"/>
    <n v="4.55"/>
    <n v="3.2910000000000004"/>
    <n v="0.55304518664047153"/>
    <x v="2"/>
    <n v="1.1399999999999999"/>
  </r>
  <r>
    <d v="2025-01-26T00:00:00"/>
    <s v="January"/>
    <n v="4"/>
    <x v="4"/>
    <n v="0.11"/>
    <n v="1.91"/>
    <n v="2"/>
    <n v="5"/>
    <n v="1"/>
    <n v="5.63"/>
    <n v="4.55"/>
    <n v="3.2910000000000004"/>
    <n v="0.55304518664047153"/>
    <x v="3"/>
    <n v="3.9"/>
  </r>
  <r>
    <d v="2025-01-26T00:00:00"/>
    <s v="January"/>
    <n v="4"/>
    <x v="4"/>
    <n v="0.11"/>
    <n v="1.91"/>
    <n v="2"/>
    <n v="5"/>
    <n v="1"/>
    <n v="5.63"/>
    <n v="4.55"/>
    <n v="3.2910000000000004"/>
    <n v="0.55304518664047153"/>
    <x v="4"/>
    <n v="0.54"/>
  </r>
  <r>
    <d v="2025-01-27T00:00:00"/>
    <s v="January"/>
    <n v="5"/>
    <x v="5"/>
    <n v="0.79"/>
    <n v="1.77"/>
    <n v="4"/>
    <n v="7"/>
    <n v="1"/>
    <n v="7.8100000000000005"/>
    <n v="6.46"/>
    <n v="3.4750000000000005"/>
    <n v="0.54730203223545904"/>
    <x v="0"/>
    <n v="5.95"/>
  </r>
  <r>
    <d v="2025-01-27T00:00:00"/>
    <s v="January"/>
    <n v="5"/>
    <x v="5"/>
    <n v="0.79"/>
    <n v="1.77"/>
    <n v="4"/>
    <n v="7"/>
    <n v="1"/>
    <n v="7.8100000000000005"/>
    <n v="6.46"/>
    <n v="3.4750000000000005"/>
    <n v="0.54730203223545904"/>
    <x v="1"/>
    <n v="5.48"/>
  </r>
  <r>
    <d v="2025-01-27T00:00:00"/>
    <s v="January"/>
    <n v="5"/>
    <x v="5"/>
    <n v="0.79"/>
    <n v="1.77"/>
    <n v="4"/>
    <n v="7"/>
    <n v="1"/>
    <n v="7.8100000000000005"/>
    <n v="6.46"/>
    <n v="3.4750000000000005"/>
    <n v="0.54730203223545904"/>
    <x v="2"/>
    <n v="0.09"/>
  </r>
  <r>
    <d v="2025-01-27T00:00:00"/>
    <s v="January"/>
    <n v="5"/>
    <x v="5"/>
    <n v="0.79"/>
    <n v="1.77"/>
    <n v="4"/>
    <n v="7"/>
    <n v="1"/>
    <n v="7.8100000000000005"/>
    <n v="6.46"/>
    <n v="3.4750000000000005"/>
    <n v="0.54730203223545904"/>
    <x v="3"/>
    <n v="3.97"/>
  </r>
  <r>
    <d v="2025-01-27T00:00:00"/>
    <s v="January"/>
    <n v="5"/>
    <x v="5"/>
    <n v="0.79"/>
    <n v="1.77"/>
    <n v="4"/>
    <n v="7"/>
    <n v="1"/>
    <n v="7.8100000000000005"/>
    <n v="6.46"/>
    <n v="3.4750000000000005"/>
    <n v="0.54730203223545904"/>
    <x v="4"/>
    <n v="1.7"/>
  </r>
  <r>
    <d v="2025-01-28T00:00:00"/>
    <s v="January"/>
    <n v="5"/>
    <x v="6"/>
    <n v="1.68"/>
    <n v="0.11"/>
    <n v="8"/>
    <n v="7"/>
    <n v="0.48"/>
    <n v="3.36"/>
    <n v="7.01"/>
    <n v="3.35"/>
    <n v="0.32401157184185153"/>
    <x v="0"/>
    <n v="3.13"/>
  </r>
  <r>
    <d v="2025-01-28T00:00:00"/>
    <s v="January"/>
    <n v="5"/>
    <x v="6"/>
    <n v="1.68"/>
    <n v="0.11"/>
    <n v="8"/>
    <n v="7"/>
    <n v="0.48"/>
    <n v="3.36"/>
    <n v="7.01"/>
    <n v="3.35"/>
    <n v="0.32401157184185153"/>
    <x v="1"/>
    <n v="8.69"/>
  </r>
  <r>
    <d v="2025-01-28T00:00:00"/>
    <s v="January"/>
    <n v="5"/>
    <x v="6"/>
    <n v="1.68"/>
    <n v="0.11"/>
    <n v="8"/>
    <n v="7"/>
    <n v="0.48"/>
    <n v="3.36"/>
    <n v="7.01"/>
    <n v="3.35"/>
    <n v="0.32401157184185153"/>
    <x v="2"/>
    <n v="0.12"/>
  </r>
  <r>
    <d v="2025-01-28T00:00:00"/>
    <s v="January"/>
    <n v="5"/>
    <x v="6"/>
    <n v="1.68"/>
    <n v="0.11"/>
    <n v="8"/>
    <n v="7"/>
    <n v="0.48"/>
    <n v="3.36"/>
    <n v="7.01"/>
    <n v="3.35"/>
    <n v="0.32401157184185153"/>
    <x v="3"/>
    <n v="2.54"/>
  </r>
  <r>
    <d v="2025-01-28T00:00:00"/>
    <s v="January"/>
    <n v="5"/>
    <x v="6"/>
    <n v="1.68"/>
    <n v="0.11"/>
    <n v="8"/>
    <n v="7"/>
    <n v="0.48"/>
    <n v="3.36"/>
    <n v="7.01"/>
    <n v="3.35"/>
    <n v="0.32401157184185153"/>
    <x v="4"/>
    <n v="2.79"/>
  </r>
  <r>
    <d v="2025-01-29T00:00:00"/>
    <s v="January"/>
    <n v="5"/>
    <x v="0"/>
    <n v="0.03"/>
    <n v="1.58"/>
    <n v="10"/>
    <n v="7"/>
    <n v="1"/>
    <n v="7.79"/>
    <n v="7.2600000000000007"/>
    <n v="4.0609999999999999"/>
    <n v="0.51760797342192688"/>
    <x v="0"/>
    <n v="5.08"/>
  </r>
  <r>
    <d v="2025-01-29T00:00:00"/>
    <s v="January"/>
    <n v="5"/>
    <x v="0"/>
    <n v="0.03"/>
    <n v="1.58"/>
    <n v="10"/>
    <n v="7"/>
    <n v="1"/>
    <n v="7.79"/>
    <n v="7.2600000000000007"/>
    <n v="4.0609999999999999"/>
    <n v="0.51760797342192688"/>
    <x v="1"/>
    <n v="8.42"/>
  </r>
  <r>
    <d v="2025-01-29T00:00:00"/>
    <s v="January"/>
    <n v="5"/>
    <x v="0"/>
    <n v="0.03"/>
    <n v="1.58"/>
    <n v="10"/>
    <n v="7"/>
    <n v="1"/>
    <n v="7.79"/>
    <n v="7.2600000000000007"/>
    <n v="4.0609999999999999"/>
    <n v="0.51760797342192688"/>
    <x v="2"/>
    <n v="1.1299999999999999"/>
  </r>
  <r>
    <d v="2025-01-29T00:00:00"/>
    <s v="January"/>
    <n v="5"/>
    <x v="0"/>
    <n v="0.03"/>
    <n v="1.58"/>
    <n v="10"/>
    <n v="7"/>
    <n v="1"/>
    <n v="7.79"/>
    <n v="7.2600000000000007"/>
    <n v="4.0609999999999999"/>
    <n v="0.51760797342192688"/>
    <x v="3"/>
    <n v="4.37"/>
  </r>
  <r>
    <d v="2025-01-29T00:00:00"/>
    <s v="January"/>
    <n v="5"/>
    <x v="0"/>
    <n v="0.03"/>
    <n v="1.58"/>
    <n v="10"/>
    <n v="7"/>
    <n v="1"/>
    <n v="7.79"/>
    <n v="7.2600000000000007"/>
    <n v="4.0609999999999999"/>
    <n v="0.51760797342192688"/>
    <x v="4"/>
    <n v="2.86"/>
  </r>
  <r>
    <d v="2025-01-30T00:00:00"/>
    <s v="January"/>
    <n v="5"/>
    <x v="1"/>
    <n v="0.42"/>
    <n v="1.08"/>
    <n v="8"/>
    <n v="7"/>
    <n v="0.51714285714285713"/>
    <n v="3.62"/>
    <n v="6.72"/>
    <n v="1.8520000000000001"/>
    <n v="0.3500967117988395"/>
    <x v="0"/>
    <n v="1.2"/>
  </r>
  <r>
    <d v="2025-01-30T00:00:00"/>
    <s v="January"/>
    <n v="5"/>
    <x v="1"/>
    <n v="0.42"/>
    <n v="1.08"/>
    <n v="8"/>
    <n v="7"/>
    <n v="0.51714285714285713"/>
    <n v="3.62"/>
    <n v="6.72"/>
    <n v="1.8520000000000001"/>
    <n v="0.3500967117988395"/>
    <x v="1"/>
    <n v="5.78"/>
  </r>
  <r>
    <d v="2025-01-30T00:00:00"/>
    <s v="January"/>
    <n v="5"/>
    <x v="1"/>
    <n v="0.42"/>
    <n v="1.08"/>
    <n v="8"/>
    <n v="7"/>
    <n v="0.51714285714285713"/>
    <n v="3.62"/>
    <n v="6.72"/>
    <n v="1.8520000000000001"/>
    <n v="0.3500967117988395"/>
    <x v="2"/>
    <n v="1.34"/>
  </r>
  <r>
    <d v="2025-01-30T00:00:00"/>
    <s v="January"/>
    <n v="5"/>
    <x v="1"/>
    <n v="0.42"/>
    <n v="1.08"/>
    <n v="8"/>
    <n v="7"/>
    <n v="0.51714285714285713"/>
    <n v="3.62"/>
    <n v="6.72"/>
    <n v="1.8520000000000001"/>
    <n v="0.3500967117988395"/>
    <x v="3"/>
    <n v="4.71"/>
  </r>
  <r>
    <d v="2025-01-30T00:00:00"/>
    <s v="January"/>
    <n v="5"/>
    <x v="1"/>
    <n v="0.42"/>
    <n v="1.08"/>
    <n v="8"/>
    <n v="7"/>
    <n v="0.51714285714285713"/>
    <n v="3.62"/>
    <n v="6.72"/>
    <n v="1.8520000000000001"/>
    <n v="0.3500967117988395"/>
    <x v="4"/>
    <n v="1.59"/>
  </r>
  <r>
    <d v="2025-01-31T00:00:00"/>
    <s v="January"/>
    <n v="5"/>
    <x v="2"/>
    <n v="7.0000000000000007E-2"/>
    <n v="0.66"/>
    <n v="5"/>
    <n v="7"/>
    <n v="0.83285714285714285"/>
    <n v="5.83"/>
    <n v="6.8000000000000007"/>
    <n v="3.0989999999999998"/>
    <n v="0.46159936658749007"/>
    <x v="0"/>
    <n v="4.3"/>
  </r>
  <r>
    <d v="2025-01-31T00:00:00"/>
    <s v="January"/>
    <n v="5"/>
    <x v="2"/>
    <n v="7.0000000000000007E-2"/>
    <n v="0.66"/>
    <n v="5"/>
    <n v="7"/>
    <n v="0.83285714285714285"/>
    <n v="5.83"/>
    <n v="6.8000000000000007"/>
    <n v="3.0989999999999998"/>
    <n v="0.46159936658749007"/>
    <x v="1"/>
    <n v="6.26"/>
  </r>
  <r>
    <d v="2025-01-31T00:00:00"/>
    <s v="January"/>
    <n v="5"/>
    <x v="2"/>
    <n v="7.0000000000000007E-2"/>
    <n v="0.66"/>
    <n v="5"/>
    <n v="7"/>
    <n v="0.83285714285714285"/>
    <n v="5.83"/>
    <n v="6.8000000000000007"/>
    <n v="3.0989999999999998"/>
    <n v="0.46159936658749007"/>
    <x v="2"/>
    <n v="0.87"/>
  </r>
  <r>
    <d v="2025-01-31T00:00:00"/>
    <s v="January"/>
    <n v="5"/>
    <x v="2"/>
    <n v="7.0000000000000007E-2"/>
    <n v="0.66"/>
    <n v="5"/>
    <n v="7"/>
    <n v="0.83285714285714285"/>
    <n v="5.83"/>
    <n v="6.8000000000000007"/>
    <n v="3.0989999999999998"/>
    <n v="0.46159936658749007"/>
    <x v="3"/>
    <n v="3.92"/>
  </r>
  <r>
    <d v="2025-01-31T00:00:00"/>
    <s v="January"/>
    <n v="5"/>
    <x v="2"/>
    <n v="7.0000000000000007E-2"/>
    <n v="0.66"/>
    <n v="5"/>
    <n v="7"/>
    <n v="0.83285714285714285"/>
    <n v="5.83"/>
    <n v="6.8000000000000007"/>
    <n v="3.0989999999999998"/>
    <n v="0.46159936658749007"/>
    <x v="4"/>
    <n v="2.81"/>
  </r>
  <r>
    <d v="2025-02-01T00:00:00"/>
    <s v="February"/>
    <n v="5"/>
    <x v="3"/>
    <n v="1.6"/>
    <n v="1.71"/>
    <n v="8"/>
    <n v="5"/>
    <n v="1"/>
    <n v="7.0200000000000005"/>
    <n v="6.66"/>
    <n v="3.9530000000000003"/>
    <n v="0.51315789473684215"/>
    <x v="0"/>
    <n v="4.6100000000000003"/>
  </r>
  <r>
    <d v="2025-02-01T00:00:00"/>
    <s v="February"/>
    <n v="5"/>
    <x v="3"/>
    <n v="1.6"/>
    <n v="1.71"/>
    <n v="8"/>
    <n v="5"/>
    <n v="1"/>
    <n v="7.0200000000000005"/>
    <n v="6.66"/>
    <n v="3.9530000000000003"/>
    <n v="0.51315789473684215"/>
    <x v="1"/>
    <n v="8.25"/>
  </r>
  <r>
    <d v="2025-02-01T00:00:00"/>
    <s v="February"/>
    <n v="5"/>
    <x v="3"/>
    <n v="1.6"/>
    <n v="1.71"/>
    <n v="8"/>
    <n v="5"/>
    <n v="1"/>
    <n v="7.0200000000000005"/>
    <n v="6.66"/>
    <n v="3.9530000000000003"/>
    <n v="0.51315789473684215"/>
    <x v="2"/>
    <n v="0.7"/>
  </r>
  <r>
    <d v="2025-02-01T00:00:00"/>
    <s v="February"/>
    <n v="5"/>
    <x v="3"/>
    <n v="1.6"/>
    <n v="1.71"/>
    <n v="8"/>
    <n v="5"/>
    <n v="1"/>
    <n v="7.0200000000000005"/>
    <n v="6.66"/>
    <n v="3.9530000000000003"/>
    <n v="0.51315789473684215"/>
    <x v="3"/>
    <n v="2.2999999999999998"/>
  </r>
  <r>
    <d v="2025-02-01T00:00:00"/>
    <s v="February"/>
    <n v="5"/>
    <x v="3"/>
    <n v="1.6"/>
    <n v="1.71"/>
    <n v="8"/>
    <n v="5"/>
    <n v="1"/>
    <n v="7.0200000000000005"/>
    <n v="6.66"/>
    <n v="3.9530000000000003"/>
    <n v="0.51315789473684215"/>
    <x v="4"/>
    <n v="2.76"/>
  </r>
  <r>
    <d v="2025-02-02T00:00:00"/>
    <s v="February"/>
    <n v="5"/>
    <x v="4"/>
    <n v="1.95"/>
    <n v="0.69"/>
    <n v="5"/>
    <n v="5"/>
    <n v="1"/>
    <n v="6.36"/>
    <n v="4.09"/>
    <n v="3.8439999999999999"/>
    <n v="0.6086124401913876"/>
    <x v="0"/>
    <n v="3.85"/>
  </r>
  <r>
    <d v="2025-02-02T00:00:00"/>
    <s v="February"/>
    <n v="5"/>
    <x v="4"/>
    <n v="1.95"/>
    <n v="0.69"/>
    <n v="5"/>
    <n v="5"/>
    <n v="1"/>
    <n v="6.36"/>
    <n v="4.09"/>
    <n v="3.8439999999999999"/>
    <n v="0.6086124401913876"/>
    <x v="1"/>
    <n v="7.18"/>
  </r>
  <r>
    <d v="2025-02-02T00:00:00"/>
    <s v="February"/>
    <n v="5"/>
    <x v="4"/>
    <n v="1.95"/>
    <n v="0.69"/>
    <n v="5"/>
    <n v="5"/>
    <n v="1"/>
    <n v="6.36"/>
    <n v="4.09"/>
    <n v="3.8439999999999999"/>
    <n v="0.6086124401913876"/>
    <x v="2"/>
    <n v="1.82"/>
  </r>
  <r>
    <d v="2025-02-02T00:00:00"/>
    <s v="February"/>
    <n v="5"/>
    <x v="4"/>
    <n v="1.95"/>
    <n v="0.69"/>
    <n v="5"/>
    <n v="5"/>
    <n v="1"/>
    <n v="6.36"/>
    <n v="4.09"/>
    <n v="3.8439999999999999"/>
    <n v="0.6086124401913876"/>
    <x v="3"/>
    <n v="1.93"/>
  </r>
  <r>
    <d v="2025-02-02T00:00:00"/>
    <s v="February"/>
    <n v="5"/>
    <x v="4"/>
    <n v="1.95"/>
    <n v="0.69"/>
    <n v="5"/>
    <n v="5"/>
    <n v="1"/>
    <n v="6.36"/>
    <n v="4.09"/>
    <n v="3.8439999999999999"/>
    <n v="0.6086124401913876"/>
    <x v="4"/>
    <n v="0.21"/>
  </r>
  <r>
    <d v="2025-02-03T00:00:00"/>
    <s v="February"/>
    <n v="6"/>
    <x v="5"/>
    <n v="0.25"/>
    <n v="0.92"/>
    <n v="1"/>
    <n v="7"/>
    <n v="1"/>
    <n v="8.43"/>
    <n v="5.9399999999999995"/>
    <n v="4.1869999999999994"/>
    <n v="0.58663883089770352"/>
    <x v="0"/>
    <n v="5.8"/>
  </r>
  <r>
    <d v="2025-02-03T00:00:00"/>
    <s v="February"/>
    <n v="6"/>
    <x v="5"/>
    <n v="0.25"/>
    <n v="0.92"/>
    <n v="1"/>
    <n v="7"/>
    <n v="1"/>
    <n v="8.43"/>
    <n v="5.9399999999999995"/>
    <n v="4.1869999999999994"/>
    <n v="0.58663883089770352"/>
    <x v="1"/>
    <n v="6.98"/>
  </r>
  <r>
    <d v="2025-02-03T00:00:00"/>
    <s v="February"/>
    <n v="6"/>
    <x v="5"/>
    <n v="0.25"/>
    <n v="0.92"/>
    <n v="1"/>
    <n v="7"/>
    <n v="1"/>
    <n v="8.43"/>
    <n v="5.9399999999999995"/>
    <n v="4.1869999999999994"/>
    <n v="0.58663883089770352"/>
    <x v="2"/>
    <n v="1.71"/>
  </r>
  <r>
    <d v="2025-02-03T00:00:00"/>
    <s v="February"/>
    <n v="6"/>
    <x v="5"/>
    <n v="0.25"/>
    <n v="0.92"/>
    <n v="1"/>
    <n v="7"/>
    <n v="1"/>
    <n v="8.43"/>
    <n v="5.9399999999999995"/>
    <n v="4.1869999999999994"/>
    <n v="0.58663883089770352"/>
    <x v="3"/>
    <n v="3.32"/>
  </r>
  <r>
    <d v="2025-02-03T00:00:00"/>
    <s v="February"/>
    <n v="6"/>
    <x v="5"/>
    <n v="0.25"/>
    <n v="0.92"/>
    <n v="1"/>
    <n v="7"/>
    <n v="1"/>
    <n v="8.43"/>
    <n v="5.9399999999999995"/>
    <n v="4.1869999999999994"/>
    <n v="0.58663883089770352"/>
    <x v="4"/>
    <n v="2.37"/>
  </r>
  <r>
    <d v="2025-02-04T00:00:00"/>
    <s v="February"/>
    <n v="6"/>
    <x v="6"/>
    <n v="0.86"/>
    <n v="0.16"/>
    <n v="10"/>
    <n v="7"/>
    <n v="0.90428571428571425"/>
    <n v="6.33"/>
    <n v="6.61"/>
    <n v="4.0690000000000008"/>
    <n v="0.48918083462132916"/>
    <x v="0"/>
    <n v="4.21"/>
  </r>
  <r>
    <d v="2025-02-04T00:00:00"/>
    <s v="February"/>
    <n v="6"/>
    <x v="6"/>
    <n v="0.86"/>
    <n v="0.16"/>
    <n v="10"/>
    <n v="7"/>
    <n v="0.90428571428571425"/>
    <n v="6.33"/>
    <n v="6.61"/>
    <n v="4.0690000000000008"/>
    <n v="0.48918083462132916"/>
    <x v="1"/>
    <n v="8.56"/>
  </r>
  <r>
    <d v="2025-02-04T00:00:00"/>
    <s v="February"/>
    <n v="6"/>
    <x v="6"/>
    <n v="0.86"/>
    <n v="0.16"/>
    <n v="10"/>
    <n v="7"/>
    <n v="0.90428571428571425"/>
    <n v="6.33"/>
    <n v="6.61"/>
    <n v="4.0690000000000008"/>
    <n v="0.48918083462132916"/>
    <x v="2"/>
    <n v="1.96"/>
  </r>
  <r>
    <d v="2025-02-04T00:00:00"/>
    <s v="February"/>
    <n v="6"/>
    <x v="6"/>
    <n v="0.86"/>
    <n v="0.16"/>
    <n v="10"/>
    <n v="7"/>
    <n v="0.90428571428571425"/>
    <n v="6.33"/>
    <n v="6.61"/>
    <n v="4.0690000000000008"/>
    <n v="0.48918083462132916"/>
    <x v="3"/>
    <n v="4.37"/>
  </r>
  <r>
    <d v="2025-02-04T00:00:00"/>
    <s v="February"/>
    <n v="6"/>
    <x v="6"/>
    <n v="0.86"/>
    <n v="0.16"/>
    <n v="10"/>
    <n v="7"/>
    <n v="0.90428571428571425"/>
    <n v="6.33"/>
    <n v="6.61"/>
    <n v="4.0690000000000008"/>
    <n v="0.48918083462132916"/>
    <x v="4"/>
    <n v="1.38"/>
  </r>
  <r>
    <d v="2025-02-05T00:00:00"/>
    <s v="February"/>
    <n v="6"/>
    <x v="0"/>
    <n v="0.81"/>
    <n v="1.34"/>
    <n v="8"/>
    <n v="7"/>
    <n v="0.86571428571428566"/>
    <n v="6.06"/>
    <n v="6.33"/>
    <n v="2.831"/>
    <n v="0.48910411622276023"/>
    <x v="0"/>
    <n v="3"/>
  </r>
  <r>
    <d v="2025-02-05T00:00:00"/>
    <s v="February"/>
    <n v="6"/>
    <x v="0"/>
    <n v="0.81"/>
    <n v="1.34"/>
    <n v="8"/>
    <n v="7"/>
    <n v="0.86571428571428566"/>
    <n v="6.06"/>
    <n v="6.33"/>
    <n v="2.831"/>
    <n v="0.48910411622276023"/>
    <x v="1"/>
    <n v="6.13"/>
  </r>
  <r>
    <d v="2025-02-05T00:00:00"/>
    <s v="February"/>
    <n v="6"/>
    <x v="0"/>
    <n v="0.81"/>
    <n v="1.34"/>
    <n v="8"/>
    <n v="7"/>
    <n v="0.86571428571428566"/>
    <n v="6.06"/>
    <n v="6.33"/>
    <n v="2.831"/>
    <n v="0.48910411622276023"/>
    <x v="2"/>
    <n v="1.72"/>
  </r>
  <r>
    <d v="2025-02-05T00:00:00"/>
    <s v="February"/>
    <n v="6"/>
    <x v="0"/>
    <n v="0.81"/>
    <n v="1.34"/>
    <n v="8"/>
    <n v="7"/>
    <n v="0.86571428571428566"/>
    <n v="6.06"/>
    <n v="6.33"/>
    <n v="2.831"/>
    <n v="0.48910411622276023"/>
    <x v="3"/>
    <n v="4.2699999999999996"/>
  </r>
  <r>
    <d v="2025-02-05T00:00:00"/>
    <s v="February"/>
    <n v="6"/>
    <x v="0"/>
    <n v="0.81"/>
    <n v="1.34"/>
    <n v="8"/>
    <n v="7"/>
    <n v="0.86571428571428566"/>
    <n v="6.06"/>
    <n v="6.33"/>
    <n v="2.831"/>
    <n v="0.48910411622276023"/>
    <x v="4"/>
    <n v="1.25"/>
  </r>
  <r>
    <d v="2025-02-06T00:00:00"/>
    <s v="February"/>
    <n v="6"/>
    <x v="1"/>
    <n v="0.47"/>
    <n v="0.83"/>
    <n v="3"/>
    <n v="7"/>
    <n v="0.79428571428571437"/>
    <n v="5.5600000000000005"/>
    <n v="3.5199999999999996"/>
    <n v="3.6149999999999993"/>
    <n v="0.61233480176211463"/>
    <x v="0"/>
    <n v="2.81"/>
  </r>
  <r>
    <d v="2025-02-06T00:00:00"/>
    <s v="February"/>
    <n v="6"/>
    <x v="1"/>
    <n v="0.47"/>
    <n v="0.83"/>
    <n v="3"/>
    <n v="7"/>
    <n v="0.79428571428571437"/>
    <n v="5.5600000000000005"/>
    <n v="3.5199999999999996"/>
    <n v="3.6149999999999993"/>
    <n v="0.61233480176211463"/>
    <x v="1"/>
    <n v="8.0399999999999991"/>
  </r>
  <r>
    <d v="2025-02-06T00:00:00"/>
    <s v="February"/>
    <n v="6"/>
    <x v="1"/>
    <n v="0.47"/>
    <n v="0.83"/>
    <n v="3"/>
    <n v="7"/>
    <n v="0.79428571428571437"/>
    <n v="5.5600000000000005"/>
    <n v="3.5199999999999996"/>
    <n v="3.6149999999999993"/>
    <n v="0.61233480176211463"/>
    <x v="2"/>
    <n v="1.92"/>
  </r>
  <r>
    <d v="2025-02-06T00:00:00"/>
    <s v="February"/>
    <n v="6"/>
    <x v="1"/>
    <n v="0.47"/>
    <n v="0.83"/>
    <n v="3"/>
    <n v="7"/>
    <n v="0.79428571428571437"/>
    <n v="5.5600000000000005"/>
    <n v="3.5199999999999996"/>
    <n v="3.6149999999999993"/>
    <n v="0.61233480176211463"/>
    <x v="3"/>
    <n v="1.89"/>
  </r>
  <r>
    <d v="2025-02-06T00:00:00"/>
    <s v="February"/>
    <n v="6"/>
    <x v="1"/>
    <n v="0.47"/>
    <n v="0.83"/>
    <n v="3"/>
    <n v="7"/>
    <n v="0.79428571428571437"/>
    <n v="5.5600000000000005"/>
    <n v="3.5199999999999996"/>
    <n v="3.6149999999999993"/>
    <n v="0.61233480176211463"/>
    <x v="4"/>
    <n v="1.1599999999999999"/>
  </r>
  <r>
    <d v="2025-02-07T00:00:00"/>
    <s v="February"/>
    <n v="6"/>
    <x v="2"/>
    <n v="0.35"/>
    <n v="1.42"/>
    <n v="3"/>
    <n v="7"/>
    <n v="0.92285714285714293"/>
    <n v="6.4600000000000009"/>
    <n v="2.61"/>
    <n v="3.669"/>
    <n v="0.71223814773980165"/>
    <x v="0"/>
    <n v="3.98"/>
  </r>
  <r>
    <d v="2025-02-07T00:00:00"/>
    <s v="February"/>
    <n v="6"/>
    <x v="2"/>
    <n v="0.35"/>
    <n v="1.42"/>
    <n v="3"/>
    <n v="7"/>
    <n v="0.92285714285714293"/>
    <n v="6.4600000000000009"/>
    <n v="2.61"/>
    <n v="3.669"/>
    <n v="0.71223814773980165"/>
    <x v="1"/>
    <n v="6.97"/>
  </r>
  <r>
    <d v="2025-02-07T00:00:00"/>
    <s v="February"/>
    <n v="6"/>
    <x v="2"/>
    <n v="0.35"/>
    <n v="1.42"/>
    <n v="3"/>
    <n v="7"/>
    <n v="0.92285714285714293"/>
    <n v="6.4600000000000009"/>
    <n v="2.61"/>
    <n v="3.669"/>
    <n v="0.71223814773980165"/>
    <x v="2"/>
    <n v="1.06"/>
  </r>
  <r>
    <d v="2025-02-07T00:00:00"/>
    <s v="February"/>
    <n v="6"/>
    <x v="2"/>
    <n v="0.35"/>
    <n v="1.42"/>
    <n v="3"/>
    <n v="7"/>
    <n v="0.92285714285714293"/>
    <n v="6.4600000000000009"/>
    <n v="2.61"/>
    <n v="3.669"/>
    <n v="0.71223814773980165"/>
    <x v="3"/>
    <n v="1.9"/>
  </r>
  <r>
    <d v="2025-02-07T00:00:00"/>
    <s v="February"/>
    <n v="6"/>
    <x v="2"/>
    <n v="0.35"/>
    <n v="1.42"/>
    <n v="3"/>
    <n v="7"/>
    <n v="0.92285714285714293"/>
    <n v="6.4600000000000009"/>
    <n v="2.61"/>
    <n v="3.669"/>
    <n v="0.71223814773980165"/>
    <x v="4"/>
    <n v="0.36"/>
  </r>
  <r>
    <d v="2025-02-08T00:00:00"/>
    <s v="February"/>
    <n v="6"/>
    <x v="3"/>
    <n v="0.64"/>
    <n v="0.26"/>
    <n v="2"/>
    <n v="5"/>
    <n v="0.77200000000000002"/>
    <n v="3.8600000000000003"/>
    <n v="6.45"/>
    <n v="2.3850000000000002"/>
    <n v="0.37439379243452958"/>
    <x v="0"/>
    <n v="3.22"/>
  </r>
  <r>
    <d v="2025-02-08T00:00:00"/>
    <s v="February"/>
    <n v="6"/>
    <x v="3"/>
    <n v="0.64"/>
    <n v="0.26"/>
    <n v="2"/>
    <n v="5"/>
    <n v="0.77200000000000002"/>
    <n v="3.8600000000000003"/>
    <n v="6.45"/>
    <n v="2.3850000000000002"/>
    <n v="0.37439379243452958"/>
    <x v="1"/>
    <n v="5.34"/>
  </r>
  <r>
    <d v="2025-02-08T00:00:00"/>
    <s v="February"/>
    <n v="6"/>
    <x v="3"/>
    <n v="0.64"/>
    <n v="0.26"/>
    <n v="2"/>
    <n v="5"/>
    <n v="0.77200000000000002"/>
    <n v="3.8600000000000003"/>
    <n v="6.45"/>
    <n v="2.3850000000000002"/>
    <n v="0.37439379243452958"/>
    <x v="2"/>
    <n v="0.38"/>
  </r>
  <r>
    <d v="2025-02-08T00:00:00"/>
    <s v="February"/>
    <n v="6"/>
    <x v="3"/>
    <n v="0.64"/>
    <n v="0.26"/>
    <n v="2"/>
    <n v="5"/>
    <n v="0.77200000000000002"/>
    <n v="3.8600000000000003"/>
    <n v="6.45"/>
    <n v="2.3850000000000002"/>
    <n v="0.37439379243452958"/>
    <x v="3"/>
    <n v="4.2300000000000004"/>
  </r>
  <r>
    <d v="2025-02-08T00:00:00"/>
    <s v="February"/>
    <n v="6"/>
    <x v="3"/>
    <n v="0.64"/>
    <n v="0.26"/>
    <n v="2"/>
    <n v="5"/>
    <n v="0.77200000000000002"/>
    <n v="3.8600000000000003"/>
    <n v="6.45"/>
    <n v="2.3850000000000002"/>
    <n v="0.37439379243452958"/>
    <x v="4"/>
    <n v="1.58"/>
  </r>
  <r>
    <d v="2025-02-09T00:00:00"/>
    <s v="February"/>
    <n v="6"/>
    <x v="4"/>
    <n v="0.49"/>
    <n v="1.19"/>
    <n v="6"/>
    <n v="5"/>
    <n v="1"/>
    <n v="7.3900000000000006"/>
    <n v="4.91"/>
    <n v="4.2759999999999998"/>
    <n v="0.60081300813008132"/>
    <x v="0"/>
    <n v="5.69"/>
  </r>
  <r>
    <d v="2025-02-09T00:00:00"/>
    <s v="February"/>
    <n v="6"/>
    <x v="4"/>
    <n v="0.49"/>
    <n v="1.19"/>
    <n v="6"/>
    <n v="5"/>
    <n v="1"/>
    <n v="7.3900000000000006"/>
    <n v="4.91"/>
    <n v="4.2759999999999998"/>
    <n v="0.60081300813008132"/>
    <x v="1"/>
    <n v="7.8"/>
  </r>
  <r>
    <d v="2025-02-09T00:00:00"/>
    <s v="February"/>
    <n v="6"/>
    <x v="4"/>
    <n v="0.49"/>
    <n v="1.19"/>
    <n v="6"/>
    <n v="5"/>
    <n v="1"/>
    <n v="7.3900000000000006"/>
    <n v="4.91"/>
    <n v="4.2759999999999998"/>
    <n v="0.60081300813008132"/>
    <x v="2"/>
    <n v="0.51"/>
  </r>
  <r>
    <d v="2025-02-09T00:00:00"/>
    <s v="February"/>
    <n v="6"/>
    <x v="4"/>
    <n v="0.49"/>
    <n v="1.19"/>
    <n v="6"/>
    <n v="5"/>
    <n v="1"/>
    <n v="7.3900000000000006"/>
    <n v="4.91"/>
    <n v="4.2759999999999998"/>
    <n v="0.60081300813008132"/>
    <x v="3"/>
    <n v="2.31"/>
  </r>
  <r>
    <d v="2025-02-09T00:00:00"/>
    <s v="February"/>
    <n v="6"/>
    <x v="4"/>
    <n v="0.49"/>
    <n v="1.19"/>
    <n v="6"/>
    <n v="5"/>
    <n v="1"/>
    <n v="7.3900000000000006"/>
    <n v="4.91"/>
    <n v="4.2759999999999998"/>
    <n v="0.60081300813008132"/>
    <x v="4"/>
    <n v="2.11"/>
  </r>
  <r>
    <d v="2025-02-10T00:00:00"/>
    <s v="February"/>
    <n v="7"/>
    <x v="5"/>
    <n v="0.89"/>
    <n v="0.45"/>
    <n v="4"/>
    <n v="7"/>
    <n v="0.8214285714285714"/>
    <n v="5.75"/>
    <n v="7.0999999999999988"/>
    <n v="2.7849999999999997"/>
    <n v="0.44747081712062264"/>
    <x v="0"/>
    <n v="3.36"/>
  </r>
  <r>
    <d v="2025-02-10T00:00:00"/>
    <s v="February"/>
    <n v="7"/>
    <x v="5"/>
    <n v="0.89"/>
    <n v="0.45"/>
    <n v="4"/>
    <n v="7"/>
    <n v="0.8214285714285714"/>
    <n v="5.75"/>
    <n v="7.0999999999999988"/>
    <n v="2.7849999999999997"/>
    <n v="0.44747081712062264"/>
    <x v="1"/>
    <n v="5.58"/>
  </r>
  <r>
    <d v="2025-02-10T00:00:00"/>
    <s v="February"/>
    <n v="7"/>
    <x v="5"/>
    <n v="0.89"/>
    <n v="0.45"/>
    <n v="4"/>
    <n v="7"/>
    <n v="0.8214285714285714"/>
    <n v="5.75"/>
    <n v="7.0999999999999988"/>
    <n v="2.7849999999999997"/>
    <n v="0.44747081712062264"/>
    <x v="2"/>
    <n v="1.94"/>
  </r>
  <r>
    <d v="2025-02-10T00:00:00"/>
    <s v="February"/>
    <n v="7"/>
    <x v="5"/>
    <n v="0.89"/>
    <n v="0.45"/>
    <n v="4"/>
    <n v="7"/>
    <n v="0.8214285714285714"/>
    <n v="5.75"/>
    <n v="7.0999999999999988"/>
    <n v="2.7849999999999997"/>
    <n v="0.44747081712062264"/>
    <x v="3"/>
    <n v="4.7699999999999996"/>
  </r>
  <r>
    <d v="2025-02-10T00:00:00"/>
    <s v="February"/>
    <n v="7"/>
    <x v="5"/>
    <n v="0.89"/>
    <n v="0.45"/>
    <n v="4"/>
    <n v="7"/>
    <n v="0.8214285714285714"/>
    <n v="5.75"/>
    <n v="7.0999999999999988"/>
    <n v="2.7849999999999997"/>
    <n v="0.44747081712062264"/>
    <x v="4"/>
    <n v="1.44"/>
  </r>
  <r>
    <d v="2025-02-11T00:00:00"/>
    <s v="February"/>
    <n v="7"/>
    <x v="6"/>
    <n v="0.08"/>
    <n v="0.78"/>
    <n v="4"/>
    <n v="7"/>
    <n v="0.91714285714285715"/>
    <n v="6.42"/>
    <n v="5.79"/>
    <n v="3.3239999999999998"/>
    <n v="0.52579852579852571"/>
    <x v="0"/>
    <n v="3.68"/>
  </r>
  <r>
    <d v="2025-02-11T00:00:00"/>
    <s v="February"/>
    <n v="7"/>
    <x v="6"/>
    <n v="0.08"/>
    <n v="0.78"/>
    <n v="4"/>
    <n v="7"/>
    <n v="0.91714285714285715"/>
    <n v="6.42"/>
    <n v="5.79"/>
    <n v="3.3239999999999998"/>
    <n v="0.52579852579852571"/>
    <x v="1"/>
    <n v="6.77"/>
  </r>
  <r>
    <d v="2025-02-11T00:00:00"/>
    <s v="February"/>
    <n v="7"/>
    <x v="6"/>
    <n v="0.08"/>
    <n v="0.78"/>
    <n v="4"/>
    <n v="7"/>
    <n v="0.91714285714285715"/>
    <n v="6.42"/>
    <n v="5.79"/>
    <n v="3.3239999999999998"/>
    <n v="0.52579852579852571"/>
    <x v="2"/>
    <n v="1.96"/>
  </r>
  <r>
    <d v="2025-02-11T00:00:00"/>
    <s v="February"/>
    <n v="7"/>
    <x v="6"/>
    <n v="0.08"/>
    <n v="0.78"/>
    <n v="4"/>
    <n v="7"/>
    <n v="0.91714285714285715"/>
    <n v="6.42"/>
    <n v="5.79"/>
    <n v="3.3239999999999998"/>
    <n v="0.52579852579852571"/>
    <x v="3"/>
    <n v="3.32"/>
  </r>
  <r>
    <d v="2025-02-11T00:00:00"/>
    <s v="February"/>
    <n v="7"/>
    <x v="6"/>
    <n v="0.08"/>
    <n v="0.78"/>
    <n v="4"/>
    <n v="7"/>
    <n v="0.91714285714285715"/>
    <n v="6.42"/>
    <n v="5.79"/>
    <n v="3.3239999999999998"/>
    <n v="0.52579852579852571"/>
    <x v="4"/>
    <n v="2.39"/>
  </r>
  <r>
    <d v="2025-02-12T00:00:00"/>
    <s v="February"/>
    <n v="7"/>
    <x v="0"/>
    <n v="1.71"/>
    <n v="1.83"/>
    <n v="9"/>
    <n v="7"/>
    <n v="0.71714285714285719"/>
    <n v="5.0200000000000005"/>
    <n v="6.62"/>
    <n v="2.5599999999999996"/>
    <n v="0.43127147766323026"/>
    <x v="0"/>
    <n v="3.08"/>
  </r>
  <r>
    <d v="2025-02-12T00:00:00"/>
    <s v="February"/>
    <n v="7"/>
    <x v="0"/>
    <n v="1.71"/>
    <n v="1.83"/>
    <n v="9"/>
    <n v="7"/>
    <n v="0.71714285714285719"/>
    <n v="5.0200000000000005"/>
    <n v="6.62"/>
    <n v="2.5599999999999996"/>
    <n v="0.43127147766323026"/>
    <x v="1"/>
    <n v="5.99"/>
  </r>
  <r>
    <d v="2025-02-12T00:00:00"/>
    <s v="February"/>
    <n v="7"/>
    <x v="0"/>
    <n v="1.71"/>
    <n v="1.83"/>
    <n v="9"/>
    <n v="7"/>
    <n v="0.71714285714285719"/>
    <n v="5.0200000000000005"/>
    <n v="6.62"/>
    <n v="2.5599999999999996"/>
    <n v="0.43127147766323026"/>
    <x v="2"/>
    <n v="0.11"/>
  </r>
  <r>
    <d v="2025-02-12T00:00:00"/>
    <s v="February"/>
    <n v="7"/>
    <x v="0"/>
    <n v="1.71"/>
    <n v="1.83"/>
    <n v="9"/>
    <n v="7"/>
    <n v="0.71714285714285719"/>
    <n v="5.0200000000000005"/>
    <n v="6.62"/>
    <n v="2.5599999999999996"/>
    <n v="0.43127147766323026"/>
    <x v="3"/>
    <n v="4.66"/>
  </r>
  <r>
    <d v="2025-02-12T00:00:00"/>
    <s v="February"/>
    <n v="7"/>
    <x v="0"/>
    <n v="1.71"/>
    <n v="1.83"/>
    <n v="9"/>
    <n v="7"/>
    <n v="0.71714285714285719"/>
    <n v="5.0200000000000005"/>
    <n v="6.62"/>
    <n v="2.5599999999999996"/>
    <n v="0.43127147766323026"/>
    <x v="4"/>
    <n v="0.25"/>
  </r>
  <r>
    <d v="2025-02-13T00:00:00"/>
    <s v="February"/>
    <n v="7"/>
    <x v="1"/>
    <n v="0.28999999999999998"/>
    <n v="1.18"/>
    <n v="1"/>
    <n v="7"/>
    <n v="0.94857142857142851"/>
    <n v="6.64"/>
    <n v="7.7299999999999995"/>
    <n v="3.1349999999999998"/>
    <n v="0.46207376478775225"/>
    <x v="0"/>
    <n v="4.5599999999999996"/>
  </r>
  <r>
    <d v="2025-02-13T00:00:00"/>
    <s v="February"/>
    <n v="7"/>
    <x v="1"/>
    <n v="0.28999999999999998"/>
    <n v="1.18"/>
    <n v="1"/>
    <n v="7"/>
    <n v="0.94857142857142851"/>
    <n v="6.64"/>
    <n v="7.7299999999999995"/>
    <n v="3.1349999999999998"/>
    <n v="0.46207376478775225"/>
    <x v="1"/>
    <n v="6.25"/>
  </r>
  <r>
    <d v="2025-02-13T00:00:00"/>
    <s v="February"/>
    <n v="7"/>
    <x v="1"/>
    <n v="0.28999999999999998"/>
    <n v="1.18"/>
    <n v="1"/>
    <n v="7"/>
    <n v="0.94857142857142851"/>
    <n v="6.64"/>
    <n v="7.7299999999999995"/>
    <n v="3.1349999999999998"/>
    <n v="0.46207376478775225"/>
    <x v="2"/>
    <n v="0.9"/>
  </r>
  <r>
    <d v="2025-02-13T00:00:00"/>
    <s v="February"/>
    <n v="7"/>
    <x v="1"/>
    <n v="0.28999999999999998"/>
    <n v="1.18"/>
    <n v="1"/>
    <n v="7"/>
    <n v="0.94857142857142851"/>
    <n v="6.64"/>
    <n v="7.7299999999999995"/>
    <n v="3.1349999999999998"/>
    <n v="0.46207376478775225"/>
    <x v="3"/>
    <n v="4.76"/>
  </r>
  <r>
    <d v="2025-02-13T00:00:00"/>
    <s v="February"/>
    <n v="7"/>
    <x v="1"/>
    <n v="0.28999999999999998"/>
    <n v="1.18"/>
    <n v="1"/>
    <n v="7"/>
    <n v="0.94857142857142851"/>
    <n v="6.64"/>
    <n v="7.7299999999999995"/>
    <n v="3.1349999999999998"/>
    <n v="0.46207376478775225"/>
    <x v="4"/>
    <n v="2.68"/>
  </r>
  <r>
    <d v="2025-02-14T00:00:00"/>
    <s v="February"/>
    <n v="7"/>
    <x v="2"/>
    <n v="0.92"/>
    <n v="1.35"/>
    <n v="5"/>
    <n v="7"/>
    <n v="0.89571428571428569"/>
    <n v="6.27"/>
    <n v="7.35"/>
    <n v="3.7600000000000007"/>
    <n v="0.46035242290748896"/>
    <x v="0"/>
    <n v="4.33"/>
  </r>
  <r>
    <d v="2025-02-14T00:00:00"/>
    <s v="February"/>
    <n v="7"/>
    <x v="2"/>
    <n v="0.92"/>
    <n v="1.35"/>
    <n v="5"/>
    <n v="7"/>
    <n v="0.89571428571428569"/>
    <n v="6.27"/>
    <n v="7.35"/>
    <n v="3.7600000000000007"/>
    <n v="0.46035242290748896"/>
    <x v="1"/>
    <n v="8.51"/>
  </r>
  <r>
    <d v="2025-02-14T00:00:00"/>
    <s v="February"/>
    <n v="7"/>
    <x v="2"/>
    <n v="0.92"/>
    <n v="1.35"/>
    <n v="5"/>
    <n v="7"/>
    <n v="0.89571428571428569"/>
    <n v="6.27"/>
    <n v="7.35"/>
    <n v="3.7600000000000007"/>
    <n v="0.46035242290748896"/>
    <x v="2"/>
    <n v="0.59"/>
  </r>
  <r>
    <d v="2025-02-14T00:00:00"/>
    <s v="February"/>
    <n v="7"/>
    <x v="2"/>
    <n v="0.92"/>
    <n v="1.35"/>
    <n v="5"/>
    <n v="7"/>
    <n v="0.89571428571428569"/>
    <n v="6.27"/>
    <n v="7.35"/>
    <n v="3.7600000000000007"/>
    <n v="0.46035242290748896"/>
    <x v="3"/>
    <n v="4.68"/>
  </r>
  <r>
    <d v="2025-02-14T00:00:00"/>
    <s v="February"/>
    <n v="7"/>
    <x v="2"/>
    <n v="0.92"/>
    <n v="1.35"/>
    <n v="5"/>
    <n v="7"/>
    <n v="0.89571428571428569"/>
    <n v="6.27"/>
    <n v="7.35"/>
    <n v="3.7600000000000007"/>
    <n v="0.46035242290748896"/>
    <x v="4"/>
    <n v="1.75"/>
  </r>
  <r>
    <d v="2025-02-15T00:00:00"/>
    <s v="February"/>
    <n v="7"/>
    <x v="3"/>
    <n v="0.3"/>
    <n v="1.75"/>
    <n v="5"/>
    <n v="5"/>
    <n v="0.89400000000000013"/>
    <n v="4.4700000000000006"/>
    <n v="5.37"/>
    <n v="1.9969999999999999"/>
    <n v="0.4542682926829269"/>
    <x v="0"/>
    <n v="1.28"/>
  </r>
  <r>
    <d v="2025-02-15T00:00:00"/>
    <s v="February"/>
    <n v="7"/>
    <x v="3"/>
    <n v="0.3"/>
    <n v="1.75"/>
    <n v="5"/>
    <n v="5"/>
    <n v="0.89400000000000013"/>
    <n v="4.4700000000000006"/>
    <n v="5.37"/>
    <n v="1.9969999999999999"/>
    <n v="0.4542682926829269"/>
    <x v="1"/>
    <n v="5.68"/>
  </r>
  <r>
    <d v="2025-02-15T00:00:00"/>
    <s v="February"/>
    <n v="7"/>
    <x v="3"/>
    <n v="0.3"/>
    <n v="1.75"/>
    <n v="5"/>
    <n v="5"/>
    <n v="0.89400000000000013"/>
    <n v="4.4700000000000006"/>
    <n v="5.37"/>
    <n v="1.9969999999999999"/>
    <n v="0.4542682926829269"/>
    <x v="2"/>
    <n v="1.44"/>
  </r>
  <r>
    <d v="2025-02-15T00:00:00"/>
    <s v="February"/>
    <n v="7"/>
    <x v="3"/>
    <n v="0.3"/>
    <n v="1.75"/>
    <n v="5"/>
    <n v="5"/>
    <n v="0.89400000000000013"/>
    <n v="4.4700000000000006"/>
    <n v="5.37"/>
    <n v="1.9969999999999999"/>
    <n v="0.4542682926829269"/>
    <x v="3"/>
    <n v="3.23"/>
  </r>
  <r>
    <d v="2025-02-15T00:00:00"/>
    <s v="February"/>
    <n v="7"/>
    <x v="3"/>
    <n v="0.3"/>
    <n v="1.75"/>
    <n v="5"/>
    <n v="5"/>
    <n v="0.89400000000000013"/>
    <n v="4.4700000000000006"/>
    <n v="5.37"/>
    <n v="1.9969999999999999"/>
    <n v="0.4542682926829269"/>
    <x v="4"/>
    <n v="1.84"/>
  </r>
  <r>
    <d v="2025-02-16T00:00:00"/>
    <s v="February"/>
    <n v="7"/>
    <x v="4"/>
    <n v="0.86"/>
    <n v="1.01"/>
    <n v="1"/>
    <n v="5"/>
    <n v="1"/>
    <n v="6.27"/>
    <n v="5.66"/>
    <n v="3.9489999999999994"/>
    <n v="0.52556580050293378"/>
    <x v="0"/>
    <n v="4.72"/>
  </r>
  <r>
    <d v="2025-02-16T00:00:00"/>
    <s v="February"/>
    <n v="7"/>
    <x v="4"/>
    <n v="0.86"/>
    <n v="1.01"/>
    <n v="1"/>
    <n v="5"/>
    <n v="1"/>
    <n v="6.27"/>
    <n v="5.66"/>
    <n v="3.9489999999999994"/>
    <n v="0.52556580050293378"/>
    <x v="1"/>
    <n v="8.11"/>
  </r>
  <r>
    <d v="2025-02-16T00:00:00"/>
    <s v="February"/>
    <n v="7"/>
    <x v="4"/>
    <n v="0.86"/>
    <n v="1.01"/>
    <n v="1"/>
    <n v="5"/>
    <n v="1"/>
    <n v="6.27"/>
    <n v="5.66"/>
    <n v="3.9489999999999994"/>
    <n v="0.52556580050293378"/>
    <x v="2"/>
    <n v="0.54"/>
  </r>
  <r>
    <d v="2025-02-16T00:00:00"/>
    <s v="February"/>
    <n v="7"/>
    <x v="4"/>
    <n v="0.86"/>
    <n v="1.01"/>
    <n v="1"/>
    <n v="5"/>
    <n v="1"/>
    <n v="6.27"/>
    <n v="5.66"/>
    <n v="3.9489999999999994"/>
    <n v="0.52556580050293378"/>
    <x v="3"/>
    <n v="4.46"/>
  </r>
  <r>
    <d v="2025-02-16T00:00:00"/>
    <s v="February"/>
    <n v="7"/>
    <x v="4"/>
    <n v="0.86"/>
    <n v="1.01"/>
    <n v="1"/>
    <n v="5"/>
    <n v="1"/>
    <n v="6.27"/>
    <n v="5.66"/>
    <n v="3.9489999999999994"/>
    <n v="0.52556580050293378"/>
    <x v="4"/>
    <n v="0.34"/>
  </r>
  <r>
    <d v="2025-02-17T00:00:00"/>
    <s v="February"/>
    <n v="8"/>
    <x v="5"/>
    <n v="1.29"/>
    <n v="0.98"/>
    <n v="5"/>
    <n v="7"/>
    <n v="1"/>
    <n v="7.9399999999999995"/>
    <n v="8.0799999999999983"/>
    <n v="3.2490000000000001"/>
    <n v="0.49563046192259685"/>
    <x v="0"/>
    <n v="4.97"/>
  </r>
  <r>
    <d v="2025-02-17T00:00:00"/>
    <s v="February"/>
    <n v="8"/>
    <x v="5"/>
    <n v="1.29"/>
    <n v="0.98"/>
    <n v="5"/>
    <n v="7"/>
    <n v="1"/>
    <n v="7.9399999999999995"/>
    <n v="8.0799999999999983"/>
    <n v="3.2490000000000001"/>
    <n v="0.49563046192259685"/>
    <x v="1"/>
    <n v="5.14"/>
  </r>
  <r>
    <d v="2025-02-17T00:00:00"/>
    <s v="February"/>
    <n v="8"/>
    <x v="5"/>
    <n v="1.29"/>
    <n v="0.98"/>
    <n v="5"/>
    <n v="7"/>
    <n v="1"/>
    <n v="7.9399999999999995"/>
    <n v="8.0799999999999983"/>
    <n v="3.2490000000000001"/>
    <n v="0.49563046192259685"/>
    <x v="2"/>
    <n v="1.99"/>
  </r>
  <r>
    <d v="2025-02-17T00:00:00"/>
    <s v="February"/>
    <n v="8"/>
    <x v="5"/>
    <n v="1.29"/>
    <n v="0.98"/>
    <n v="5"/>
    <n v="7"/>
    <n v="1"/>
    <n v="7.9399999999999995"/>
    <n v="8.0799999999999983"/>
    <n v="3.2490000000000001"/>
    <n v="0.49563046192259685"/>
    <x v="3"/>
    <n v="4.76"/>
  </r>
  <r>
    <d v="2025-02-17T00:00:00"/>
    <s v="February"/>
    <n v="8"/>
    <x v="5"/>
    <n v="1.29"/>
    <n v="0.98"/>
    <n v="5"/>
    <n v="7"/>
    <n v="1"/>
    <n v="7.9399999999999995"/>
    <n v="8.0799999999999983"/>
    <n v="3.2490000000000001"/>
    <n v="0.49563046192259685"/>
    <x v="4"/>
    <n v="2.0299999999999998"/>
  </r>
  <r>
    <d v="2025-02-18T00:00:00"/>
    <s v="February"/>
    <n v="8"/>
    <x v="6"/>
    <n v="1.85"/>
    <n v="1.61"/>
    <n v="3"/>
    <n v="7"/>
    <n v="0.5842857142857143"/>
    <n v="4.09"/>
    <n v="5.1899999999999995"/>
    <n v="1.9820000000000002"/>
    <n v="0.44073275862068967"/>
    <x v="0"/>
    <n v="1.42"/>
  </r>
  <r>
    <d v="2025-02-18T00:00:00"/>
    <s v="February"/>
    <n v="8"/>
    <x v="6"/>
    <n v="1.85"/>
    <n v="1.61"/>
    <n v="3"/>
    <n v="7"/>
    <n v="0.5842857142857143"/>
    <n v="4.09"/>
    <n v="5.1899999999999995"/>
    <n v="1.9820000000000002"/>
    <n v="0.44073275862068967"/>
    <x v="1"/>
    <n v="5.12"/>
  </r>
  <r>
    <d v="2025-02-18T00:00:00"/>
    <s v="February"/>
    <n v="8"/>
    <x v="6"/>
    <n v="1.85"/>
    <n v="1.61"/>
    <n v="3"/>
    <n v="7"/>
    <n v="0.5842857142857143"/>
    <n v="4.09"/>
    <n v="5.1899999999999995"/>
    <n v="1.9820000000000002"/>
    <n v="0.44073275862068967"/>
    <x v="2"/>
    <n v="1.06"/>
  </r>
  <r>
    <d v="2025-02-18T00:00:00"/>
    <s v="February"/>
    <n v="8"/>
    <x v="6"/>
    <n v="1.85"/>
    <n v="1.61"/>
    <n v="3"/>
    <n v="7"/>
    <n v="0.5842857142857143"/>
    <n v="4.09"/>
    <n v="5.1899999999999995"/>
    <n v="1.9820000000000002"/>
    <n v="0.44073275862068967"/>
    <x v="3"/>
    <n v="2.69"/>
  </r>
  <r>
    <d v="2025-02-18T00:00:00"/>
    <s v="February"/>
    <n v="8"/>
    <x v="6"/>
    <n v="1.85"/>
    <n v="1.61"/>
    <n v="3"/>
    <n v="7"/>
    <n v="0.5842857142857143"/>
    <n v="4.09"/>
    <n v="5.1899999999999995"/>
    <n v="1.9820000000000002"/>
    <n v="0.44073275862068967"/>
    <x v="4"/>
    <n v="0.65"/>
  </r>
  <r>
    <d v="2025-02-19T00:00:00"/>
    <s v="February"/>
    <n v="8"/>
    <x v="0"/>
    <n v="0.61"/>
    <n v="0.41"/>
    <n v="7"/>
    <n v="7"/>
    <n v="0.64"/>
    <n v="4.4800000000000004"/>
    <n v="2.34"/>
    <n v="3.5729999999999995"/>
    <n v="0.6568914956011731"/>
    <x v="0"/>
    <n v="2.15"/>
  </r>
  <r>
    <d v="2025-02-19T00:00:00"/>
    <s v="February"/>
    <n v="8"/>
    <x v="0"/>
    <n v="0.61"/>
    <n v="0.41"/>
    <n v="7"/>
    <n v="7"/>
    <n v="0.64"/>
    <n v="4.4800000000000004"/>
    <n v="2.34"/>
    <n v="3.5729999999999995"/>
    <n v="0.6568914956011731"/>
    <x v="1"/>
    <n v="8.34"/>
  </r>
  <r>
    <d v="2025-02-19T00:00:00"/>
    <s v="February"/>
    <n v="8"/>
    <x v="0"/>
    <n v="0.61"/>
    <n v="0.41"/>
    <n v="7"/>
    <n v="7"/>
    <n v="0.64"/>
    <n v="4.4800000000000004"/>
    <n v="2.34"/>
    <n v="3.5729999999999995"/>
    <n v="0.6568914956011731"/>
    <x v="2"/>
    <n v="1.92"/>
  </r>
  <r>
    <d v="2025-02-19T00:00:00"/>
    <s v="February"/>
    <n v="8"/>
    <x v="0"/>
    <n v="0.61"/>
    <n v="0.41"/>
    <n v="7"/>
    <n v="7"/>
    <n v="0.64"/>
    <n v="4.4800000000000004"/>
    <n v="2.34"/>
    <n v="3.5729999999999995"/>
    <n v="0.6568914956011731"/>
    <x v="3"/>
    <n v="1.46"/>
  </r>
  <r>
    <d v="2025-02-19T00:00:00"/>
    <s v="February"/>
    <n v="8"/>
    <x v="0"/>
    <n v="0.61"/>
    <n v="0.41"/>
    <n v="7"/>
    <n v="7"/>
    <n v="0.64"/>
    <n v="4.4800000000000004"/>
    <n v="2.34"/>
    <n v="3.5729999999999995"/>
    <n v="0.6568914956011731"/>
    <x v="4"/>
    <n v="0.27"/>
  </r>
  <r>
    <d v="2025-02-20T00:00:00"/>
    <s v="February"/>
    <n v="8"/>
    <x v="1"/>
    <n v="0.59"/>
    <n v="1.34"/>
    <n v="7"/>
    <n v="7"/>
    <n v="0.57571428571428573"/>
    <n v="4.03"/>
    <n v="2.35"/>
    <n v="2.2770000000000001"/>
    <n v="0.6316614420062695"/>
    <x v="0"/>
    <n v="1.1000000000000001"/>
  </r>
  <r>
    <d v="2025-02-20T00:00:00"/>
    <s v="February"/>
    <n v="8"/>
    <x v="1"/>
    <n v="0.59"/>
    <n v="1.34"/>
    <n v="7"/>
    <n v="7"/>
    <n v="0.57571428571428573"/>
    <n v="4.03"/>
    <n v="2.35"/>
    <n v="2.2770000000000001"/>
    <n v="0.6316614420062695"/>
    <x v="1"/>
    <n v="5.65"/>
  </r>
  <r>
    <d v="2025-02-20T00:00:00"/>
    <s v="February"/>
    <n v="8"/>
    <x v="1"/>
    <n v="0.59"/>
    <n v="1.34"/>
    <n v="7"/>
    <n v="7"/>
    <n v="0.57571428571428573"/>
    <n v="4.03"/>
    <n v="2.35"/>
    <n v="2.2770000000000001"/>
    <n v="0.6316614420062695"/>
    <x v="2"/>
    <n v="1.59"/>
  </r>
  <r>
    <d v="2025-02-20T00:00:00"/>
    <s v="February"/>
    <n v="8"/>
    <x v="1"/>
    <n v="0.59"/>
    <n v="1.34"/>
    <n v="7"/>
    <n v="7"/>
    <n v="0.57571428571428573"/>
    <n v="4.03"/>
    <n v="2.35"/>
    <n v="2.2770000000000001"/>
    <n v="0.6316614420062695"/>
    <x v="3"/>
    <n v="1.72"/>
  </r>
  <r>
    <d v="2025-02-20T00:00:00"/>
    <s v="February"/>
    <n v="8"/>
    <x v="1"/>
    <n v="0.59"/>
    <n v="1.34"/>
    <n v="7"/>
    <n v="7"/>
    <n v="0.57571428571428573"/>
    <n v="4.03"/>
    <n v="2.35"/>
    <n v="2.2770000000000001"/>
    <n v="0.6316614420062695"/>
    <x v="4"/>
    <n v="0.04"/>
  </r>
  <r>
    <d v="2025-02-21T00:00:00"/>
    <s v="February"/>
    <n v="8"/>
    <x v="2"/>
    <n v="0.5"/>
    <n v="1.76"/>
    <n v="8"/>
    <n v="7"/>
    <n v="0.88857142857142857"/>
    <n v="6.22"/>
    <n v="5.3500000000000005"/>
    <n v="2.6960000000000002"/>
    <n v="0.53759723422644767"/>
    <x v="0"/>
    <n v="3.45"/>
  </r>
  <r>
    <d v="2025-02-21T00:00:00"/>
    <s v="February"/>
    <n v="8"/>
    <x v="2"/>
    <n v="0.5"/>
    <n v="1.76"/>
    <n v="8"/>
    <n v="7"/>
    <n v="0.88857142857142857"/>
    <n v="6.22"/>
    <n v="5.3500000000000005"/>
    <n v="2.6960000000000002"/>
    <n v="0.53759723422644767"/>
    <x v="1"/>
    <n v="5.33"/>
  </r>
  <r>
    <d v="2025-02-21T00:00:00"/>
    <s v="February"/>
    <n v="8"/>
    <x v="2"/>
    <n v="0.5"/>
    <n v="1.76"/>
    <n v="8"/>
    <n v="7"/>
    <n v="0.88857142857142857"/>
    <n v="6.22"/>
    <n v="5.3500000000000005"/>
    <n v="2.6960000000000002"/>
    <n v="0.53759723422644767"/>
    <x v="2"/>
    <n v="1.01"/>
  </r>
  <r>
    <d v="2025-02-21T00:00:00"/>
    <s v="February"/>
    <n v="8"/>
    <x v="2"/>
    <n v="0.5"/>
    <n v="1.76"/>
    <n v="8"/>
    <n v="7"/>
    <n v="0.88857142857142857"/>
    <n v="6.22"/>
    <n v="5.3500000000000005"/>
    <n v="2.6960000000000002"/>
    <n v="0.53759723422644767"/>
    <x v="3"/>
    <n v="3.95"/>
  </r>
  <r>
    <d v="2025-02-21T00:00:00"/>
    <s v="February"/>
    <n v="8"/>
    <x v="2"/>
    <n v="0.5"/>
    <n v="1.76"/>
    <n v="8"/>
    <n v="7"/>
    <n v="0.88857142857142857"/>
    <n v="6.22"/>
    <n v="5.3500000000000005"/>
    <n v="2.6960000000000002"/>
    <n v="0.53759723422644767"/>
    <x v="4"/>
    <n v="0.9"/>
  </r>
  <r>
    <d v="2025-02-22T00:00:00"/>
    <s v="February"/>
    <n v="8"/>
    <x v="3"/>
    <n v="0.14000000000000001"/>
    <n v="1.17"/>
    <n v="2"/>
    <n v="5"/>
    <n v="0.88000000000000012"/>
    <n v="4.4000000000000004"/>
    <n v="5.669999999999999"/>
    <n v="2.7459999999999996"/>
    <n v="0.43694141012909637"/>
    <x v="0"/>
    <n v="2.1800000000000002"/>
  </r>
  <r>
    <d v="2025-02-22T00:00:00"/>
    <s v="February"/>
    <n v="8"/>
    <x v="3"/>
    <n v="0.14000000000000001"/>
    <n v="1.17"/>
    <n v="2"/>
    <n v="5"/>
    <n v="0.88000000000000012"/>
    <n v="4.4000000000000004"/>
    <n v="5.669999999999999"/>
    <n v="2.7459999999999996"/>
    <n v="0.43694141012909637"/>
    <x v="1"/>
    <n v="7.39"/>
  </r>
  <r>
    <d v="2025-02-22T00:00:00"/>
    <s v="February"/>
    <n v="8"/>
    <x v="3"/>
    <n v="0.14000000000000001"/>
    <n v="1.17"/>
    <n v="2"/>
    <n v="5"/>
    <n v="0.88000000000000012"/>
    <n v="4.4000000000000004"/>
    <n v="5.669999999999999"/>
    <n v="2.7459999999999996"/>
    <n v="0.43694141012909637"/>
    <x v="2"/>
    <n v="1.05"/>
  </r>
  <r>
    <d v="2025-02-22T00:00:00"/>
    <s v="February"/>
    <n v="8"/>
    <x v="3"/>
    <n v="0.14000000000000001"/>
    <n v="1.17"/>
    <n v="2"/>
    <n v="5"/>
    <n v="0.88000000000000012"/>
    <n v="4.4000000000000004"/>
    <n v="5.669999999999999"/>
    <n v="2.7459999999999996"/>
    <n v="0.43694141012909637"/>
    <x v="3"/>
    <n v="3.27"/>
  </r>
  <r>
    <d v="2025-02-22T00:00:00"/>
    <s v="February"/>
    <n v="8"/>
    <x v="3"/>
    <n v="0.14000000000000001"/>
    <n v="1.17"/>
    <n v="2"/>
    <n v="5"/>
    <n v="0.88000000000000012"/>
    <n v="4.4000000000000004"/>
    <n v="5.669999999999999"/>
    <n v="2.7459999999999996"/>
    <n v="0.43694141012909637"/>
    <x v="4"/>
    <n v="2.2599999999999998"/>
  </r>
  <r>
    <d v="2025-02-23T00:00:00"/>
    <s v="February"/>
    <n v="8"/>
    <x v="4"/>
    <n v="1.84"/>
    <n v="1.58"/>
    <n v="7"/>
    <n v="5"/>
    <n v="0.99799999999999989"/>
    <n v="4.9899999999999993"/>
    <n v="6.51"/>
    <n v="2.3410000000000002"/>
    <n v="0.43391304347826082"/>
    <x v="0"/>
    <n v="2.5299999999999998"/>
  </r>
  <r>
    <d v="2025-02-23T00:00:00"/>
    <s v="February"/>
    <n v="8"/>
    <x v="4"/>
    <n v="1.84"/>
    <n v="1.58"/>
    <n v="7"/>
    <n v="5"/>
    <n v="0.99799999999999989"/>
    <n v="4.9899999999999993"/>
    <n v="6.51"/>
    <n v="2.3410000000000002"/>
    <n v="0.43391304347826082"/>
    <x v="1"/>
    <n v="5.4"/>
  </r>
  <r>
    <d v="2025-02-23T00:00:00"/>
    <s v="February"/>
    <n v="8"/>
    <x v="4"/>
    <n v="1.84"/>
    <n v="1.58"/>
    <n v="7"/>
    <n v="5"/>
    <n v="0.99799999999999989"/>
    <n v="4.9899999999999993"/>
    <n v="6.51"/>
    <n v="2.3410000000000002"/>
    <n v="0.43391304347826082"/>
    <x v="2"/>
    <n v="0.88"/>
  </r>
  <r>
    <d v="2025-02-23T00:00:00"/>
    <s v="February"/>
    <n v="8"/>
    <x v="4"/>
    <n v="1.84"/>
    <n v="1.58"/>
    <n v="7"/>
    <n v="5"/>
    <n v="0.99799999999999989"/>
    <n v="4.9899999999999993"/>
    <n v="6.51"/>
    <n v="2.3410000000000002"/>
    <n v="0.43391304347826082"/>
    <x v="3"/>
    <n v="4.54"/>
  </r>
  <r>
    <d v="2025-02-23T00:00:00"/>
    <s v="February"/>
    <n v="8"/>
    <x v="4"/>
    <n v="1.84"/>
    <n v="1.58"/>
    <n v="7"/>
    <n v="5"/>
    <n v="0.99799999999999989"/>
    <n v="4.9899999999999993"/>
    <n v="6.51"/>
    <n v="2.3410000000000002"/>
    <n v="0.43391304347826082"/>
    <x v="4"/>
    <n v="0.13"/>
  </r>
  <r>
    <d v="2025-02-24T00:00:00"/>
    <s v="February"/>
    <n v="9"/>
    <x v="5"/>
    <n v="0.61"/>
    <n v="0.2"/>
    <n v="3"/>
    <n v="7"/>
    <n v="0.74285714285714288"/>
    <n v="5.2"/>
    <n v="4.54"/>
    <n v="3.694"/>
    <n v="0.53388090349075978"/>
    <x v="0"/>
    <n v="3.27"/>
  </r>
  <r>
    <d v="2025-02-24T00:00:00"/>
    <s v="February"/>
    <n v="9"/>
    <x v="5"/>
    <n v="0.61"/>
    <n v="0.2"/>
    <n v="3"/>
    <n v="7"/>
    <n v="0.74285714285714288"/>
    <n v="5.2"/>
    <n v="4.54"/>
    <n v="3.694"/>
    <n v="0.53388090349075978"/>
    <x v="1"/>
    <n v="8.11"/>
  </r>
  <r>
    <d v="2025-02-24T00:00:00"/>
    <s v="February"/>
    <n v="9"/>
    <x v="5"/>
    <n v="0.61"/>
    <n v="0.2"/>
    <n v="3"/>
    <n v="7"/>
    <n v="0.74285714285714288"/>
    <n v="5.2"/>
    <n v="4.54"/>
    <n v="3.694"/>
    <n v="0.53388090349075978"/>
    <x v="2"/>
    <n v="1.73"/>
  </r>
  <r>
    <d v="2025-02-24T00:00:00"/>
    <s v="February"/>
    <n v="9"/>
    <x v="5"/>
    <n v="0.61"/>
    <n v="0.2"/>
    <n v="3"/>
    <n v="7"/>
    <n v="0.74285714285714288"/>
    <n v="5.2"/>
    <n v="4.54"/>
    <n v="3.694"/>
    <n v="0.53388090349075978"/>
    <x v="3"/>
    <n v="2.34"/>
  </r>
  <r>
    <d v="2025-02-24T00:00:00"/>
    <s v="February"/>
    <n v="9"/>
    <x v="5"/>
    <n v="0.61"/>
    <n v="0.2"/>
    <n v="3"/>
    <n v="7"/>
    <n v="0.74285714285714288"/>
    <n v="5.2"/>
    <n v="4.54"/>
    <n v="3.694"/>
    <n v="0.53388090349075978"/>
    <x v="4"/>
    <n v="1.59"/>
  </r>
  <r>
    <d v="2025-02-25T00:00:00"/>
    <s v="February"/>
    <n v="9"/>
    <x v="6"/>
    <n v="0.62"/>
    <n v="0.95"/>
    <n v="8"/>
    <n v="7"/>
    <n v="0.68857142857142861"/>
    <n v="4.82"/>
    <n v="2.31"/>
    <n v="3.6999999999999997"/>
    <n v="0.67601683029453008"/>
    <x v="0"/>
    <n v="2.4700000000000002"/>
  </r>
  <r>
    <d v="2025-02-25T00:00:00"/>
    <s v="February"/>
    <n v="9"/>
    <x v="6"/>
    <n v="0.62"/>
    <n v="0.95"/>
    <n v="8"/>
    <n v="7"/>
    <n v="0.68857142857142861"/>
    <n v="4.82"/>
    <n v="2.31"/>
    <n v="3.6999999999999997"/>
    <n v="0.67601683029453008"/>
    <x v="1"/>
    <n v="8.67"/>
  </r>
  <r>
    <d v="2025-02-25T00:00:00"/>
    <s v="February"/>
    <n v="9"/>
    <x v="6"/>
    <n v="0.62"/>
    <n v="0.95"/>
    <n v="8"/>
    <n v="7"/>
    <n v="0.68857142857142861"/>
    <n v="4.82"/>
    <n v="2.31"/>
    <n v="3.6999999999999997"/>
    <n v="0.67601683029453008"/>
    <x v="2"/>
    <n v="1.4"/>
  </r>
  <r>
    <d v="2025-02-25T00:00:00"/>
    <s v="February"/>
    <n v="9"/>
    <x v="6"/>
    <n v="0.62"/>
    <n v="0.95"/>
    <n v="8"/>
    <n v="7"/>
    <n v="0.68857142857142861"/>
    <n v="4.82"/>
    <n v="2.31"/>
    <n v="3.6999999999999997"/>
    <n v="0.67601683029453008"/>
    <x v="3"/>
    <n v="1.65"/>
  </r>
  <r>
    <d v="2025-02-25T00:00:00"/>
    <s v="February"/>
    <n v="9"/>
    <x v="6"/>
    <n v="0.62"/>
    <n v="0.95"/>
    <n v="8"/>
    <n v="7"/>
    <n v="0.68857142857142861"/>
    <n v="4.82"/>
    <n v="2.31"/>
    <n v="3.6999999999999997"/>
    <n v="0.67601683029453008"/>
    <x v="4"/>
    <n v="0.04"/>
  </r>
  <r>
    <d v="2025-02-26T00:00:00"/>
    <s v="February"/>
    <n v="9"/>
    <x v="0"/>
    <n v="0.59"/>
    <n v="1.2"/>
    <n v="5"/>
    <n v="7"/>
    <n v="0.9642857142857143"/>
    <n v="6.75"/>
    <n v="5.7799999999999994"/>
    <n v="3.4109999999999996"/>
    <n v="0.53870710295291302"/>
    <x v="0"/>
    <n v="4.29"/>
  </r>
  <r>
    <d v="2025-02-26T00:00:00"/>
    <s v="February"/>
    <n v="9"/>
    <x v="0"/>
    <n v="0.59"/>
    <n v="1.2"/>
    <n v="5"/>
    <n v="7"/>
    <n v="0.9642857142857143"/>
    <n v="6.75"/>
    <n v="5.7799999999999994"/>
    <n v="3.4109999999999996"/>
    <n v="0.53870710295291302"/>
    <x v="1"/>
    <n v="6.54"/>
  </r>
  <r>
    <d v="2025-02-26T00:00:00"/>
    <s v="February"/>
    <n v="9"/>
    <x v="0"/>
    <n v="0.59"/>
    <n v="1.2"/>
    <n v="5"/>
    <n v="7"/>
    <n v="0.9642857142857143"/>
    <n v="6.75"/>
    <n v="5.7799999999999994"/>
    <n v="3.4109999999999996"/>
    <n v="0.53870710295291302"/>
    <x v="2"/>
    <n v="1.26"/>
  </r>
  <r>
    <d v="2025-02-26T00:00:00"/>
    <s v="February"/>
    <n v="9"/>
    <x v="0"/>
    <n v="0.59"/>
    <n v="1.2"/>
    <n v="5"/>
    <n v="7"/>
    <n v="0.9642857142857143"/>
    <n v="6.75"/>
    <n v="5.7799999999999994"/>
    <n v="3.4109999999999996"/>
    <n v="0.53870710295291302"/>
    <x v="3"/>
    <n v="3.16"/>
  </r>
  <r>
    <d v="2025-02-26T00:00:00"/>
    <s v="February"/>
    <n v="9"/>
    <x v="0"/>
    <n v="0.59"/>
    <n v="1.2"/>
    <n v="5"/>
    <n v="7"/>
    <n v="0.9642857142857143"/>
    <n v="6.75"/>
    <n v="5.7799999999999994"/>
    <n v="3.4109999999999996"/>
    <n v="0.53870710295291302"/>
    <x v="4"/>
    <n v="2.0299999999999998"/>
  </r>
  <r>
    <d v="2025-02-27T00:00:00"/>
    <s v="February"/>
    <n v="9"/>
    <x v="1"/>
    <n v="0.12"/>
    <n v="1.82"/>
    <n v="2"/>
    <n v="7"/>
    <n v="1"/>
    <n v="8.0500000000000007"/>
    <n v="3.8600000000000003"/>
    <n v="3.661"/>
    <n v="0.67590260285474402"/>
    <x v="0"/>
    <n v="4.9000000000000004"/>
  </r>
  <r>
    <d v="2025-02-27T00:00:00"/>
    <s v="February"/>
    <n v="9"/>
    <x v="1"/>
    <n v="0.12"/>
    <n v="1.82"/>
    <n v="2"/>
    <n v="7"/>
    <n v="1"/>
    <n v="8.0500000000000007"/>
    <n v="3.8600000000000003"/>
    <n v="3.661"/>
    <n v="0.67590260285474402"/>
    <x v="1"/>
    <n v="6.03"/>
  </r>
  <r>
    <d v="2025-02-27T00:00:00"/>
    <s v="February"/>
    <n v="9"/>
    <x v="1"/>
    <n v="0.12"/>
    <n v="1.82"/>
    <n v="2"/>
    <n v="7"/>
    <n v="1"/>
    <n v="8.0500000000000007"/>
    <n v="3.8600000000000003"/>
    <n v="3.661"/>
    <n v="0.67590260285474402"/>
    <x v="2"/>
    <n v="1.33"/>
  </r>
  <r>
    <d v="2025-02-27T00:00:00"/>
    <s v="February"/>
    <n v="9"/>
    <x v="1"/>
    <n v="0.12"/>
    <n v="1.82"/>
    <n v="2"/>
    <n v="7"/>
    <n v="1"/>
    <n v="8.0500000000000007"/>
    <n v="3.8600000000000003"/>
    <n v="3.661"/>
    <n v="0.67590260285474402"/>
    <x v="3"/>
    <n v="2.4300000000000002"/>
  </r>
  <r>
    <d v="2025-02-27T00:00:00"/>
    <s v="February"/>
    <n v="9"/>
    <x v="1"/>
    <n v="0.12"/>
    <n v="1.82"/>
    <n v="2"/>
    <n v="7"/>
    <n v="1"/>
    <n v="8.0500000000000007"/>
    <n v="3.8600000000000003"/>
    <n v="3.661"/>
    <n v="0.67590260285474402"/>
    <x v="4"/>
    <n v="1.31"/>
  </r>
  <r>
    <d v="2025-02-28T00:00:00"/>
    <s v="February"/>
    <n v="9"/>
    <x v="2"/>
    <n v="0.81"/>
    <n v="1.72"/>
    <n v="7"/>
    <n v="7"/>
    <n v="0.48571428571428571"/>
    <n v="3.4"/>
    <n v="4.58"/>
    <n v="2.0569999999999995"/>
    <n v="0.42606516290726815"/>
    <x v="0"/>
    <n v="1.43"/>
  </r>
  <r>
    <d v="2025-02-28T00:00:00"/>
    <s v="February"/>
    <n v="9"/>
    <x v="2"/>
    <n v="0.81"/>
    <n v="1.72"/>
    <n v="7"/>
    <n v="7"/>
    <n v="0.48571428571428571"/>
    <n v="3.4"/>
    <n v="4.58"/>
    <n v="2.0569999999999995"/>
    <n v="0.42606516290726815"/>
    <x v="1"/>
    <n v="6.04"/>
  </r>
  <r>
    <d v="2025-02-28T00:00:00"/>
    <s v="February"/>
    <n v="9"/>
    <x v="2"/>
    <n v="0.81"/>
    <n v="1.72"/>
    <n v="7"/>
    <n v="7"/>
    <n v="0.48571428571428571"/>
    <n v="3.4"/>
    <n v="4.58"/>
    <n v="2.0569999999999995"/>
    <n v="0.42606516290726815"/>
    <x v="2"/>
    <n v="0.25"/>
  </r>
  <r>
    <d v="2025-02-28T00:00:00"/>
    <s v="February"/>
    <n v="9"/>
    <x v="2"/>
    <n v="0.81"/>
    <n v="1.72"/>
    <n v="7"/>
    <n v="7"/>
    <n v="0.48571428571428571"/>
    <n v="3.4"/>
    <n v="4.58"/>
    <n v="2.0569999999999995"/>
    <n v="0.42606516290726815"/>
    <x v="3"/>
    <n v="1.76"/>
  </r>
  <r>
    <d v="2025-02-28T00:00:00"/>
    <s v="February"/>
    <n v="9"/>
    <x v="2"/>
    <n v="0.81"/>
    <n v="1.72"/>
    <n v="7"/>
    <n v="7"/>
    <n v="0.48571428571428571"/>
    <n v="3.4"/>
    <n v="4.58"/>
    <n v="2.0569999999999995"/>
    <n v="0.42606516290726815"/>
    <x v="4"/>
    <n v="2.0099999999999998"/>
  </r>
  <r>
    <d v="2025-03-01T00:00:00"/>
    <s v="March"/>
    <n v="9"/>
    <x v="3"/>
    <n v="1.41"/>
    <n v="1.74"/>
    <n v="3"/>
    <n v="5"/>
    <n v="1"/>
    <n v="7.62"/>
    <n v="6.36"/>
    <n v="3.8170000000000002"/>
    <n v="0.54506437768240346"/>
    <x v="0"/>
    <n v="5.75"/>
  </r>
  <r>
    <d v="2025-03-01T00:00:00"/>
    <s v="March"/>
    <n v="9"/>
    <x v="3"/>
    <n v="1.41"/>
    <n v="1.74"/>
    <n v="3"/>
    <n v="5"/>
    <n v="1"/>
    <n v="7.62"/>
    <n v="6.36"/>
    <n v="3.8170000000000002"/>
    <n v="0.54506437768240346"/>
    <x v="1"/>
    <n v="6.62"/>
  </r>
  <r>
    <d v="2025-03-01T00:00:00"/>
    <s v="March"/>
    <n v="9"/>
    <x v="3"/>
    <n v="1.41"/>
    <n v="1.74"/>
    <n v="3"/>
    <n v="5"/>
    <n v="1"/>
    <n v="7.62"/>
    <n v="6.36"/>
    <n v="3.8170000000000002"/>
    <n v="0.54506437768240346"/>
    <x v="2"/>
    <n v="0.13"/>
  </r>
  <r>
    <d v="2025-03-01T00:00:00"/>
    <s v="March"/>
    <n v="9"/>
    <x v="3"/>
    <n v="1.41"/>
    <n v="1.74"/>
    <n v="3"/>
    <n v="5"/>
    <n v="1"/>
    <n v="7.62"/>
    <n v="6.36"/>
    <n v="3.8170000000000002"/>
    <n v="0.54506437768240346"/>
    <x v="3"/>
    <n v="3.12"/>
  </r>
  <r>
    <d v="2025-03-01T00:00:00"/>
    <s v="March"/>
    <n v="9"/>
    <x v="3"/>
    <n v="1.41"/>
    <n v="1.74"/>
    <n v="3"/>
    <n v="5"/>
    <n v="1"/>
    <n v="7.62"/>
    <n v="6.36"/>
    <n v="3.8170000000000002"/>
    <n v="0.54506437768240346"/>
    <x v="4"/>
    <n v="1.83"/>
  </r>
  <r>
    <d v="2025-03-02T00:00:00"/>
    <s v="March"/>
    <n v="9"/>
    <x v="4"/>
    <n v="1.1599999999999999"/>
    <n v="1.47"/>
    <n v="10"/>
    <n v="5"/>
    <n v="0.81600000000000006"/>
    <n v="4.08"/>
    <n v="7.59"/>
    <n v="2.6959999999999997"/>
    <n v="0.34961439588688947"/>
    <x v="0"/>
    <n v="1.23"/>
  </r>
  <r>
    <d v="2025-03-02T00:00:00"/>
    <s v="March"/>
    <n v="9"/>
    <x v="4"/>
    <n v="1.1599999999999999"/>
    <n v="1.47"/>
    <n v="10"/>
    <n v="5"/>
    <n v="0.81600000000000006"/>
    <n v="4.08"/>
    <n v="7.59"/>
    <n v="2.6959999999999997"/>
    <n v="0.34961439588688947"/>
    <x v="1"/>
    <n v="8.57"/>
  </r>
  <r>
    <d v="2025-03-02T00:00:00"/>
    <s v="March"/>
    <n v="9"/>
    <x v="4"/>
    <n v="1.1599999999999999"/>
    <n v="1.47"/>
    <n v="10"/>
    <n v="5"/>
    <n v="0.81600000000000006"/>
    <n v="4.08"/>
    <n v="7.59"/>
    <n v="2.6959999999999997"/>
    <n v="0.34961439588688947"/>
    <x v="2"/>
    <n v="1.38"/>
  </r>
  <r>
    <d v="2025-03-02T00:00:00"/>
    <s v="March"/>
    <n v="9"/>
    <x v="4"/>
    <n v="1.1599999999999999"/>
    <n v="1.47"/>
    <n v="10"/>
    <n v="5"/>
    <n v="0.81600000000000006"/>
    <n v="4.08"/>
    <n v="7.59"/>
    <n v="2.6959999999999997"/>
    <n v="0.34961439588688947"/>
    <x v="3"/>
    <n v="4.3600000000000003"/>
  </r>
  <r>
    <d v="2025-03-02T00:00:00"/>
    <s v="March"/>
    <n v="9"/>
    <x v="4"/>
    <n v="1.1599999999999999"/>
    <n v="1.47"/>
    <n v="10"/>
    <n v="5"/>
    <n v="0.81600000000000006"/>
    <n v="4.08"/>
    <n v="7.59"/>
    <n v="2.6959999999999997"/>
    <n v="0.34961439588688947"/>
    <x v="4"/>
    <n v="2.0699999999999998"/>
  </r>
  <r>
    <d v="2025-03-03T00:00:00"/>
    <s v="March"/>
    <n v="10"/>
    <x v="5"/>
    <n v="1.41"/>
    <n v="1.62"/>
    <n v="9"/>
    <n v="7"/>
    <n v="0.76428571428571435"/>
    <n v="5.3500000000000005"/>
    <n v="2.87"/>
    <n v="2.8899999999999997"/>
    <n v="0.65085158150851585"/>
    <x v="0"/>
    <n v="3.68"/>
  </r>
  <r>
    <d v="2025-03-03T00:00:00"/>
    <s v="March"/>
    <n v="10"/>
    <x v="5"/>
    <n v="1.41"/>
    <n v="1.62"/>
    <n v="9"/>
    <n v="7"/>
    <n v="0.76428571428571435"/>
    <n v="5.3500000000000005"/>
    <n v="2.87"/>
    <n v="2.8899999999999997"/>
    <n v="0.65085158150851585"/>
    <x v="1"/>
    <n v="5.18"/>
  </r>
  <r>
    <d v="2025-03-03T00:00:00"/>
    <s v="March"/>
    <n v="10"/>
    <x v="5"/>
    <n v="1.41"/>
    <n v="1.62"/>
    <n v="9"/>
    <n v="7"/>
    <n v="0.76428571428571435"/>
    <n v="5.3500000000000005"/>
    <n v="2.87"/>
    <n v="2.8899999999999997"/>
    <n v="0.65085158150851585"/>
    <x v="2"/>
    <n v="0.05"/>
  </r>
  <r>
    <d v="2025-03-03T00:00:00"/>
    <s v="March"/>
    <n v="10"/>
    <x v="5"/>
    <n v="1.41"/>
    <n v="1.62"/>
    <n v="9"/>
    <n v="7"/>
    <n v="0.76428571428571435"/>
    <n v="5.3500000000000005"/>
    <n v="2.87"/>
    <n v="2.8899999999999997"/>
    <n v="0.65085158150851585"/>
    <x v="3"/>
    <n v="1.04"/>
  </r>
  <r>
    <d v="2025-03-03T00:00:00"/>
    <s v="March"/>
    <n v="10"/>
    <x v="5"/>
    <n v="1.41"/>
    <n v="1.62"/>
    <n v="9"/>
    <n v="7"/>
    <n v="0.76428571428571435"/>
    <n v="5.3500000000000005"/>
    <n v="2.87"/>
    <n v="2.8899999999999997"/>
    <n v="0.65085158150851585"/>
    <x v="4"/>
    <n v="0.42"/>
  </r>
  <r>
    <d v="2025-03-04T00:00:00"/>
    <s v="March"/>
    <n v="10"/>
    <x v="6"/>
    <n v="0.84"/>
    <n v="0.78"/>
    <n v="7"/>
    <n v="7"/>
    <n v="0.91857142857142848"/>
    <n v="6.43"/>
    <n v="6.76"/>
    <n v="3.0140000000000002"/>
    <n v="0.48749052312357849"/>
    <x v="0"/>
    <n v="4.46"/>
  </r>
  <r>
    <d v="2025-03-04T00:00:00"/>
    <s v="March"/>
    <n v="10"/>
    <x v="6"/>
    <n v="0.84"/>
    <n v="0.78"/>
    <n v="7"/>
    <n v="7"/>
    <n v="0.91857142857142848"/>
    <n v="6.43"/>
    <n v="6.76"/>
    <n v="3.0140000000000002"/>
    <n v="0.48749052312357849"/>
    <x v="1"/>
    <n v="5.28"/>
  </r>
  <r>
    <d v="2025-03-04T00:00:00"/>
    <s v="March"/>
    <n v="10"/>
    <x v="6"/>
    <n v="0.84"/>
    <n v="0.78"/>
    <n v="7"/>
    <n v="7"/>
    <n v="0.91857142857142848"/>
    <n v="6.43"/>
    <n v="6.76"/>
    <n v="3.0140000000000002"/>
    <n v="0.48749052312357849"/>
    <x v="2"/>
    <n v="1.19"/>
  </r>
  <r>
    <d v="2025-03-04T00:00:00"/>
    <s v="March"/>
    <n v="10"/>
    <x v="6"/>
    <n v="0.84"/>
    <n v="0.78"/>
    <n v="7"/>
    <n v="7"/>
    <n v="0.91857142857142848"/>
    <n v="6.43"/>
    <n v="6.76"/>
    <n v="3.0140000000000002"/>
    <n v="0.48749052312357849"/>
    <x v="3"/>
    <n v="3.72"/>
  </r>
  <r>
    <d v="2025-03-04T00:00:00"/>
    <s v="March"/>
    <n v="10"/>
    <x v="6"/>
    <n v="0.84"/>
    <n v="0.78"/>
    <n v="7"/>
    <n v="7"/>
    <n v="0.91857142857142848"/>
    <n v="6.43"/>
    <n v="6.76"/>
    <n v="3.0140000000000002"/>
    <n v="0.48749052312357849"/>
    <x v="4"/>
    <n v="2.2000000000000002"/>
  </r>
  <r>
    <d v="2025-03-05T00:00:00"/>
    <s v="March"/>
    <n v="10"/>
    <x v="0"/>
    <n v="1.69"/>
    <n v="0.4"/>
    <n v="9"/>
    <n v="7"/>
    <n v="0.84428571428571431"/>
    <n v="5.91"/>
    <n v="5.46"/>
    <n v="3.7719999999999998"/>
    <n v="0.51978891820580475"/>
    <x v="0"/>
    <n v="4.87"/>
  </r>
  <r>
    <d v="2025-03-05T00:00:00"/>
    <s v="March"/>
    <n v="10"/>
    <x v="0"/>
    <n v="1.69"/>
    <n v="0.4"/>
    <n v="9"/>
    <n v="7"/>
    <n v="0.84428571428571431"/>
    <n v="5.91"/>
    <n v="5.46"/>
    <n v="3.7719999999999998"/>
    <n v="0.51978891820580475"/>
    <x v="1"/>
    <n v="6.91"/>
  </r>
  <r>
    <d v="2025-03-05T00:00:00"/>
    <s v="March"/>
    <n v="10"/>
    <x v="0"/>
    <n v="1.69"/>
    <n v="0.4"/>
    <n v="9"/>
    <n v="7"/>
    <n v="0.84428571428571431"/>
    <n v="5.91"/>
    <n v="5.46"/>
    <n v="3.7719999999999998"/>
    <n v="0.51978891820580475"/>
    <x v="2"/>
    <n v="0.64"/>
  </r>
  <r>
    <d v="2025-03-05T00:00:00"/>
    <s v="March"/>
    <n v="10"/>
    <x v="0"/>
    <n v="1.69"/>
    <n v="0.4"/>
    <n v="9"/>
    <n v="7"/>
    <n v="0.84428571428571431"/>
    <n v="5.91"/>
    <n v="5.46"/>
    <n v="3.7719999999999998"/>
    <n v="0.51978891820580475"/>
    <x v="3"/>
    <n v="3.52"/>
  </r>
  <r>
    <d v="2025-03-05T00:00:00"/>
    <s v="March"/>
    <n v="10"/>
    <x v="0"/>
    <n v="1.69"/>
    <n v="0.4"/>
    <n v="9"/>
    <n v="7"/>
    <n v="0.84428571428571431"/>
    <n v="5.91"/>
    <n v="5.46"/>
    <n v="3.7719999999999998"/>
    <n v="0.51978891820580475"/>
    <x v="4"/>
    <n v="0.25"/>
  </r>
  <r>
    <d v="2025-03-06T00:00:00"/>
    <s v="March"/>
    <n v="10"/>
    <x v="1"/>
    <n v="0.49"/>
    <n v="0.03"/>
    <n v="6"/>
    <n v="7"/>
    <n v="0.42285714285714288"/>
    <n v="2.96"/>
    <n v="5.0500000000000007"/>
    <n v="2.6579999999999999"/>
    <n v="0.36953807740324585"/>
    <x v="0"/>
    <n v="2.17"/>
  </r>
  <r>
    <d v="2025-03-06T00:00:00"/>
    <s v="March"/>
    <n v="10"/>
    <x v="1"/>
    <n v="0.49"/>
    <n v="0.03"/>
    <n v="6"/>
    <n v="7"/>
    <n v="0.42285714285714288"/>
    <n v="2.96"/>
    <n v="5.0500000000000007"/>
    <n v="2.6579999999999999"/>
    <n v="0.36953807740324585"/>
    <x v="1"/>
    <n v="6.98"/>
  </r>
  <r>
    <d v="2025-03-06T00:00:00"/>
    <s v="March"/>
    <n v="10"/>
    <x v="1"/>
    <n v="0.49"/>
    <n v="0.03"/>
    <n v="6"/>
    <n v="7"/>
    <n v="0.42285714285714288"/>
    <n v="2.96"/>
    <n v="5.0500000000000007"/>
    <n v="2.6579999999999999"/>
    <n v="0.36953807740324585"/>
    <x v="2"/>
    <n v="0.76"/>
  </r>
  <r>
    <d v="2025-03-06T00:00:00"/>
    <s v="March"/>
    <n v="10"/>
    <x v="1"/>
    <n v="0.49"/>
    <n v="0.03"/>
    <n v="6"/>
    <n v="7"/>
    <n v="0.42285714285714288"/>
    <n v="2.96"/>
    <n v="5.0500000000000007"/>
    <n v="2.6579999999999999"/>
    <n v="0.36953807740324585"/>
    <x v="3"/>
    <n v="2.62"/>
  </r>
  <r>
    <d v="2025-03-06T00:00:00"/>
    <s v="March"/>
    <n v="10"/>
    <x v="1"/>
    <n v="0.49"/>
    <n v="0.03"/>
    <n v="6"/>
    <n v="7"/>
    <n v="0.42285714285714288"/>
    <n v="2.96"/>
    <n v="5.0500000000000007"/>
    <n v="2.6579999999999999"/>
    <n v="0.36953807740324585"/>
    <x v="4"/>
    <n v="1.94"/>
  </r>
  <r>
    <d v="2025-03-07T00:00:00"/>
    <s v="March"/>
    <n v="10"/>
    <x v="2"/>
    <n v="0.27"/>
    <n v="0.84"/>
    <n v="8"/>
    <n v="7"/>
    <n v="0.85571428571428576"/>
    <n v="5.99"/>
    <n v="5.74"/>
    <n v="2.7299999999999995"/>
    <n v="0.51065643648763859"/>
    <x v="0"/>
    <n v="3.33"/>
  </r>
  <r>
    <d v="2025-03-07T00:00:00"/>
    <s v="March"/>
    <n v="10"/>
    <x v="2"/>
    <n v="0.27"/>
    <n v="0.84"/>
    <n v="8"/>
    <n v="7"/>
    <n v="0.85571428571428576"/>
    <n v="5.99"/>
    <n v="5.74"/>
    <n v="2.7299999999999995"/>
    <n v="0.51065643648763859"/>
    <x v="1"/>
    <n v="5.27"/>
  </r>
  <r>
    <d v="2025-03-07T00:00:00"/>
    <s v="March"/>
    <n v="10"/>
    <x v="2"/>
    <n v="0.27"/>
    <n v="0.84"/>
    <n v="8"/>
    <n v="7"/>
    <n v="0.85571428571428576"/>
    <n v="5.99"/>
    <n v="5.74"/>
    <n v="2.7299999999999995"/>
    <n v="0.51065643648763859"/>
    <x v="2"/>
    <n v="1.82"/>
  </r>
  <r>
    <d v="2025-03-07T00:00:00"/>
    <s v="March"/>
    <n v="10"/>
    <x v="2"/>
    <n v="0.27"/>
    <n v="0.84"/>
    <n v="8"/>
    <n v="7"/>
    <n v="0.85571428571428576"/>
    <n v="5.99"/>
    <n v="5.74"/>
    <n v="2.7299999999999995"/>
    <n v="0.51065643648763859"/>
    <x v="3"/>
    <n v="4.96"/>
  </r>
  <r>
    <d v="2025-03-07T00:00:00"/>
    <s v="March"/>
    <n v="10"/>
    <x v="2"/>
    <n v="0.27"/>
    <n v="0.84"/>
    <n v="8"/>
    <n v="7"/>
    <n v="0.85571428571428576"/>
    <n v="5.99"/>
    <n v="5.74"/>
    <n v="2.7299999999999995"/>
    <n v="0.51065643648763859"/>
    <x v="4"/>
    <n v="0.51"/>
  </r>
  <r>
    <d v="2025-03-08T00:00:00"/>
    <s v="March"/>
    <n v="10"/>
    <x v="3"/>
    <n v="0.23"/>
    <n v="1.51"/>
    <n v="5"/>
    <n v="5"/>
    <n v="1"/>
    <n v="5.0999999999999996"/>
    <n v="5.51"/>
    <n v="2.2369999999999997"/>
    <n v="0.48067860508953819"/>
    <x v="0"/>
    <n v="2.33"/>
  </r>
  <r>
    <d v="2025-03-08T00:00:00"/>
    <s v="March"/>
    <n v="10"/>
    <x v="3"/>
    <n v="0.23"/>
    <n v="1.51"/>
    <n v="5"/>
    <n v="5"/>
    <n v="1"/>
    <n v="5.0999999999999996"/>
    <n v="5.51"/>
    <n v="2.2369999999999997"/>
    <n v="0.48067860508953819"/>
    <x v="1"/>
    <n v="5.27"/>
  </r>
  <r>
    <d v="2025-03-08T00:00:00"/>
    <s v="March"/>
    <n v="10"/>
    <x v="3"/>
    <n v="0.23"/>
    <n v="1.51"/>
    <n v="5"/>
    <n v="5"/>
    <n v="1"/>
    <n v="5.0999999999999996"/>
    <n v="5.51"/>
    <n v="2.2369999999999997"/>
    <n v="0.48067860508953819"/>
    <x v="2"/>
    <n v="1.26"/>
  </r>
  <r>
    <d v="2025-03-08T00:00:00"/>
    <s v="March"/>
    <n v="10"/>
    <x v="3"/>
    <n v="0.23"/>
    <n v="1.51"/>
    <n v="5"/>
    <n v="5"/>
    <n v="1"/>
    <n v="5.0999999999999996"/>
    <n v="5.51"/>
    <n v="2.2369999999999997"/>
    <n v="0.48067860508953819"/>
    <x v="3"/>
    <n v="3.19"/>
  </r>
  <r>
    <d v="2025-03-08T00:00:00"/>
    <s v="March"/>
    <n v="10"/>
    <x v="3"/>
    <n v="0.23"/>
    <n v="1.51"/>
    <n v="5"/>
    <n v="5"/>
    <n v="1"/>
    <n v="5.0999999999999996"/>
    <n v="5.51"/>
    <n v="2.2369999999999997"/>
    <n v="0.48067860508953819"/>
    <x v="4"/>
    <n v="2.09"/>
  </r>
  <r>
    <d v="2025-03-09T00:00:00"/>
    <s v="March"/>
    <n v="10"/>
    <x v="4"/>
    <n v="0.91"/>
    <n v="1.94"/>
    <n v="9"/>
    <n v="5"/>
    <n v="0.69799999999999995"/>
    <n v="3.4899999999999998"/>
    <n v="6.2799999999999994"/>
    <n v="2.2949999999999999"/>
    <n v="0.35721596724667348"/>
    <x v="0"/>
    <n v="1.21"/>
  </r>
  <r>
    <d v="2025-03-09T00:00:00"/>
    <s v="March"/>
    <n v="10"/>
    <x v="4"/>
    <n v="0.91"/>
    <n v="1.94"/>
    <n v="9"/>
    <n v="5"/>
    <n v="0.69799999999999995"/>
    <n v="3.4899999999999998"/>
    <n v="6.2799999999999994"/>
    <n v="2.2949999999999999"/>
    <n v="0.35721596724667348"/>
    <x v="1"/>
    <n v="7.6"/>
  </r>
  <r>
    <d v="2025-03-09T00:00:00"/>
    <s v="March"/>
    <n v="10"/>
    <x v="4"/>
    <n v="0.91"/>
    <n v="1.94"/>
    <n v="9"/>
    <n v="5"/>
    <n v="0.69799999999999995"/>
    <n v="3.4899999999999998"/>
    <n v="6.2799999999999994"/>
    <n v="2.2949999999999999"/>
    <n v="0.35721596724667348"/>
    <x v="2"/>
    <n v="0.34"/>
  </r>
  <r>
    <d v="2025-03-09T00:00:00"/>
    <s v="March"/>
    <n v="10"/>
    <x v="4"/>
    <n v="0.91"/>
    <n v="1.94"/>
    <n v="9"/>
    <n v="5"/>
    <n v="0.69799999999999995"/>
    <n v="3.4899999999999998"/>
    <n v="6.2799999999999994"/>
    <n v="2.2949999999999999"/>
    <n v="0.35721596724667348"/>
    <x v="3"/>
    <n v="3.01"/>
  </r>
  <r>
    <d v="2025-03-09T00:00:00"/>
    <s v="March"/>
    <n v="10"/>
    <x v="4"/>
    <n v="0.91"/>
    <n v="1.94"/>
    <n v="9"/>
    <n v="5"/>
    <n v="0.69799999999999995"/>
    <n v="3.4899999999999998"/>
    <n v="6.2799999999999994"/>
    <n v="2.2949999999999999"/>
    <n v="0.35721596724667348"/>
    <x v="4"/>
    <n v="2.36"/>
  </r>
  <r>
    <d v="2025-03-10T00:00:00"/>
    <s v="March"/>
    <n v="11"/>
    <x v="5"/>
    <n v="1.24"/>
    <n v="0.03"/>
    <n v="8"/>
    <n v="7"/>
    <n v="0.41857142857142854"/>
    <n v="2.9299999999999997"/>
    <n v="5.8900000000000006"/>
    <n v="2.5819999999999999"/>
    <n v="0.33219954648526073"/>
    <x v="0"/>
    <n v="2.75"/>
  </r>
  <r>
    <d v="2025-03-10T00:00:00"/>
    <s v="March"/>
    <n v="11"/>
    <x v="5"/>
    <n v="1.24"/>
    <n v="0.03"/>
    <n v="8"/>
    <n v="7"/>
    <n v="0.41857142857142854"/>
    <n v="2.9299999999999997"/>
    <n v="5.8900000000000006"/>
    <n v="2.5819999999999999"/>
    <n v="0.33219954648526073"/>
    <x v="1"/>
    <n v="6.39"/>
  </r>
  <r>
    <d v="2025-03-10T00:00:00"/>
    <s v="March"/>
    <n v="11"/>
    <x v="5"/>
    <n v="1.24"/>
    <n v="0.03"/>
    <n v="8"/>
    <n v="7"/>
    <n v="0.41857142857142854"/>
    <n v="2.9299999999999997"/>
    <n v="5.8900000000000006"/>
    <n v="2.5819999999999999"/>
    <n v="0.33219954648526073"/>
    <x v="2"/>
    <n v="0.15"/>
  </r>
  <r>
    <d v="2025-03-10T00:00:00"/>
    <s v="March"/>
    <n v="11"/>
    <x v="5"/>
    <n v="1.24"/>
    <n v="0.03"/>
    <n v="8"/>
    <n v="7"/>
    <n v="0.41857142857142854"/>
    <n v="2.9299999999999997"/>
    <n v="5.8900000000000006"/>
    <n v="2.5819999999999999"/>
    <n v="0.33219954648526073"/>
    <x v="3"/>
    <n v="4.33"/>
  </r>
  <r>
    <d v="2025-03-10T00:00:00"/>
    <s v="March"/>
    <n v="11"/>
    <x v="5"/>
    <n v="1.24"/>
    <n v="0.03"/>
    <n v="8"/>
    <n v="7"/>
    <n v="0.41857142857142854"/>
    <n v="2.9299999999999997"/>
    <n v="5.8900000000000006"/>
    <n v="2.5819999999999999"/>
    <n v="0.33219954648526073"/>
    <x v="4"/>
    <n v="0.32"/>
  </r>
  <r>
    <d v="2025-03-11T00:00:00"/>
    <s v="March"/>
    <n v="11"/>
    <x v="6"/>
    <n v="1.21"/>
    <n v="0.31"/>
    <n v="5"/>
    <n v="7"/>
    <n v="0.4514285714285714"/>
    <n v="3.1599999999999997"/>
    <n v="4.5"/>
    <n v="3.3249999999999993"/>
    <n v="0.41253263707571797"/>
    <x v="0"/>
    <n v="2.2799999999999998"/>
  </r>
  <r>
    <d v="2025-03-11T00:00:00"/>
    <s v="March"/>
    <n v="11"/>
    <x v="6"/>
    <n v="1.21"/>
    <n v="0.31"/>
    <n v="5"/>
    <n v="7"/>
    <n v="0.4514285714285714"/>
    <n v="3.1599999999999997"/>
    <n v="4.5"/>
    <n v="3.3249999999999993"/>
    <n v="0.41253263707571797"/>
    <x v="1"/>
    <n v="8.76"/>
  </r>
  <r>
    <d v="2025-03-11T00:00:00"/>
    <s v="March"/>
    <n v="11"/>
    <x v="6"/>
    <n v="1.21"/>
    <n v="0.31"/>
    <n v="5"/>
    <n v="7"/>
    <n v="0.4514285714285714"/>
    <n v="3.1599999999999997"/>
    <n v="4.5"/>
    <n v="3.3249999999999993"/>
    <n v="0.41253263707571797"/>
    <x v="2"/>
    <n v="0.56999999999999995"/>
  </r>
  <r>
    <d v="2025-03-11T00:00:00"/>
    <s v="March"/>
    <n v="11"/>
    <x v="6"/>
    <n v="1.21"/>
    <n v="0.31"/>
    <n v="5"/>
    <n v="7"/>
    <n v="0.4514285714285714"/>
    <n v="3.1599999999999997"/>
    <n v="4.5"/>
    <n v="3.3249999999999993"/>
    <n v="0.41253263707571797"/>
    <x v="3"/>
    <n v="1.67"/>
  </r>
  <r>
    <d v="2025-03-11T00:00:00"/>
    <s v="March"/>
    <n v="11"/>
    <x v="6"/>
    <n v="1.21"/>
    <n v="0.31"/>
    <n v="5"/>
    <n v="7"/>
    <n v="0.4514285714285714"/>
    <n v="3.1599999999999997"/>
    <n v="4.5"/>
    <n v="3.3249999999999993"/>
    <n v="0.41253263707571797"/>
    <x v="4"/>
    <n v="1.62"/>
  </r>
  <r>
    <d v="2025-03-12T00:00:00"/>
    <s v="March"/>
    <n v="11"/>
    <x v="0"/>
    <n v="0.08"/>
    <n v="0.64"/>
    <n v="10"/>
    <n v="7"/>
    <n v="0.75857142857142856"/>
    <n v="5.31"/>
    <n v="5.3599999999999994"/>
    <n v="2.8380000000000001"/>
    <n v="0.4976569821930647"/>
    <x v="0"/>
    <n v="3.79"/>
  </r>
  <r>
    <d v="2025-03-12T00:00:00"/>
    <s v="March"/>
    <n v="11"/>
    <x v="0"/>
    <n v="0.08"/>
    <n v="0.64"/>
    <n v="10"/>
    <n v="7"/>
    <n v="0.75857142857142856"/>
    <n v="5.31"/>
    <n v="5.3599999999999994"/>
    <n v="2.8380000000000001"/>
    <n v="0.4976569821930647"/>
    <x v="1"/>
    <n v="5.58"/>
  </r>
  <r>
    <d v="2025-03-12T00:00:00"/>
    <s v="March"/>
    <n v="11"/>
    <x v="0"/>
    <n v="0.08"/>
    <n v="0.64"/>
    <n v="10"/>
    <n v="7"/>
    <n v="0.75857142857142856"/>
    <n v="5.31"/>
    <n v="5.3599999999999994"/>
    <n v="2.8380000000000001"/>
    <n v="0.4976569821930647"/>
    <x v="2"/>
    <n v="0.88"/>
  </r>
  <r>
    <d v="2025-03-12T00:00:00"/>
    <s v="March"/>
    <n v="11"/>
    <x v="0"/>
    <n v="0.08"/>
    <n v="0.64"/>
    <n v="10"/>
    <n v="7"/>
    <n v="0.75857142857142856"/>
    <n v="5.31"/>
    <n v="5.3599999999999994"/>
    <n v="2.8380000000000001"/>
    <n v="0.4976569821930647"/>
    <x v="3"/>
    <n v="4.2699999999999996"/>
  </r>
  <r>
    <d v="2025-03-12T00:00:00"/>
    <s v="March"/>
    <n v="11"/>
    <x v="0"/>
    <n v="0.08"/>
    <n v="0.64"/>
    <n v="10"/>
    <n v="7"/>
    <n v="0.75857142857142856"/>
    <n v="5.31"/>
    <n v="5.3599999999999994"/>
    <n v="2.8380000000000001"/>
    <n v="0.4976569821930647"/>
    <x v="4"/>
    <n v="1.01"/>
  </r>
  <r>
    <d v="2025-03-13T00:00:00"/>
    <s v="March"/>
    <n v="11"/>
    <x v="1"/>
    <n v="1.1399999999999999"/>
    <n v="0.59"/>
    <n v="8"/>
    <n v="7"/>
    <n v="0.70000000000000007"/>
    <n v="4.9000000000000004"/>
    <n v="4.8599999999999994"/>
    <n v="2.6440000000000001"/>
    <n v="0.50204918032786894"/>
    <x v="0"/>
    <n v="2.31"/>
  </r>
  <r>
    <d v="2025-03-13T00:00:00"/>
    <s v="March"/>
    <n v="11"/>
    <x v="1"/>
    <n v="1.1399999999999999"/>
    <n v="0.59"/>
    <n v="8"/>
    <n v="7"/>
    <n v="0.70000000000000007"/>
    <n v="4.9000000000000004"/>
    <n v="4.8599999999999994"/>
    <n v="2.6440000000000001"/>
    <n v="0.50204918032786894"/>
    <x v="1"/>
    <n v="5.64"/>
  </r>
  <r>
    <d v="2025-03-13T00:00:00"/>
    <s v="March"/>
    <n v="11"/>
    <x v="1"/>
    <n v="1.1399999999999999"/>
    <n v="0.59"/>
    <n v="8"/>
    <n v="7"/>
    <n v="0.70000000000000007"/>
    <n v="4.9000000000000004"/>
    <n v="4.8599999999999994"/>
    <n v="2.6440000000000001"/>
    <n v="0.50204918032786894"/>
    <x v="2"/>
    <n v="2"/>
  </r>
  <r>
    <d v="2025-03-13T00:00:00"/>
    <s v="March"/>
    <n v="11"/>
    <x v="1"/>
    <n v="1.1399999999999999"/>
    <n v="0.59"/>
    <n v="8"/>
    <n v="7"/>
    <n v="0.70000000000000007"/>
    <n v="4.9000000000000004"/>
    <n v="4.8599999999999994"/>
    <n v="2.6440000000000001"/>
    <n v="0.50204918032786894"/>
    <x v="3"/>
    <n v="2.36"/>
  </r>
  <r>
    <d v="2025-03-13T00:00:00"/>
    <s v="March"/>
    <n v="11"/>
    <x v="1"/>
    <n v="1.1399999999999999"/>
    <n v="0.59"/>
    <n v="8"/>
    <n v="7"/>
    <n v="0.70000000000000007"/>
    <n v="4.9000000000000004"/>
    <n v="4.8599999999999994"/>
    <n v="2.6440000000000001"/>
    <n v="0.50204918032786894"/>
    <x v="4"/>
    <n v="1.36"/>
  </r>
  <r>
    <d v="2025-03-14T00:00:00"/>
    <s v="March"/>
    <n v="11"/>
    <x v="2"/>
    <n v="0.13"/>
    <n v="1.26"/>
    <n v="10"/>
    <n v="7"/>
    <n v="1"/>
    <n v="7.74"/>
    <n v="6.46"/>
    <n v="3.6189999999999998"/>
    <n v="0.54507042253521132"/>
    <x v="0"/>
    <n v="4.58"/>
  </r>
  <r>
    <d v="2025-03-14T00:00:00"/>
    <s v="March"/>
    <n v="11"/>
    <x v="2"/>
    <n v="0.13"/>
    <n v="1.26"/>
    <n v="10"/>
    <n v="7"/>
    <n v="1"/>
    <n v="7.74"/>
    <n v="6.46"/>
    <n v="3.6189999999999998"/>
    <n v="0.54507042253521132"/>
    <x v="1"/>
    <n v="6.8"/>
  </r>
  <r>
    <d v="2025-03-14T00:00:00"/>
    <s v="March"/>
    <n v="11"/>
    <x v="2"/>
    <n v="0.13"/>
    <n v="1.26"/>
    <n v="10"/>
    <n v="7"/>
    <n v="1"/>
    <n v="7.74"/>
    <n v="6.46"/>
    <n v="3.6189999999999998"/>
    <n v="0.54507042253521132"/>
    <x v="2"/>
    <n v="1.9"/>
  </r>
  <r>
    <d v="2025-03-14T00:00:00"/>
    <s v="March"/>
    <n v="11"/>
    <x v="2"/>
    <n v="0.13"/>
    <n v="1.26"/>
    <n v="10"/>
    <n v="7"/>
    <n v="1"/>
    <n v="7.74"/>
    <n v="6.46"/>
    <n v="3.6189999999999998"/>
    <n v="0.54507042253521132"/>
    <x v="3"/>
    <n v="4.76"/>
  </r>
  <r>
    <d v="2025-03-14T00:00:00"/>
    <s v="March"/>
    <n v="11"/>
    <x v="2"/>
    <n v="0.13"/>
    <n v="1.26"/>
    <n v="10"/>
    <n v="7"/>
    <n v="1"/>
    <n v="7.74"/>
    <n v="6.46"/>
    <n v="3.6189999999999998"/>
    <n v="0.54507042253521132"/>
    <x v="4"/>
    <n v="1.57"/>
  </r>
  <r>
    <d v="2025-03-15T00:00:00"/>
    <s v="March"/>
    <n v="11"/>
    <x v="3"/>
    <n v="0.6"/>
    <n v="1.49"/>
    <n v="7"/>
    <n v="5"/>
    <n v="0.6319999999999999"/>
    <n v="3.1599999999999997"/>
    <n v="6.81"/>
    <n v="1.637"/>
    <n v="0.31695085255767302"/>
    <x v="0"/>
    <n v="1.64"/>
  </r>
  <r>
    <d v="2025-03-15T00:00:00"/>
    <s v="March"/>
    <n v="11"/>
    <x v="3"/>
    <n v="0.6"/>
    <n v="1.49"/>
    <n v="7"/>
    <n v="5"/>
    <n v="0.6319999999999999"/>
    <n v="3.1599999999999997"/>
    <n v="6.81"/>
    <n v="1.637"/>
    <n v="0.31695085255767302"/>
    <x v="1"/>
    <n v="5.32"/>
  </r>
  <r>
    <d v="2025-03-15T00:00:00"/>
    <s v="March"/>
    <n v="11"/>
    <x v="3"/>
    <n v="0.6"/>
    <n v="1.49"/>
    <n v="7"/>
    <n v="5"/>
    <n v="0.6319999999999999"/>
    <n v="3.1599999999999997"/>
    <n v="6.81"/>
    <n v="1.637"/>
    <n v="0.31695085255767302"/>
    <x v="2"/>
    <n v="0.03"/>
  </r>
  <r>
    <d v="2025-03-15T00:00:00"/>
    <s v="March"/>
    <n v="11"/>
    <x v="3"/>
    <n v="0.6"/>
    <n v="1.49"/>
    <n v="7"/>
    <n v="5"/>
    <n v="0.6319999999999999"/>
    <n v="3.1599999999999997"/>
    <n v="6.81"/>
    <n v="1.637"/>
    <n v="0.31695085255767302"/>
    <x v="3"/>
    <n v="3.44"/>
  </r>
  <r>
    <d v="2025-03-15T00:00:00"/>
    <s v="March"/>
    <n v="11"/>
    <x v="3"/>
    <n v="0.6"/>
    <n v="1.49"/>
    <n v="7"/>
    <n v="5"/>
    <n v="0.6319999999999999"/>
    <n v="3.1599999999999997"/>
    <n v="6.81"/>
    <n v="1.637"/>
    <n v="0.31695085255767302"/>
    <x v="4"/>
    <n v="2.77"/>
  </r>
  <r>
    <d v="2025-03-16T00:00:00"/>
    <s v="March"/>
    <n v="11"/>
    <x v="4"/>
    <n v="0.4"/>
    <n v="0.45"/>
    <n v="1"/>
    <n v="5"/>
    <n v="0.78800000000000003"/>
    <n v="3.94"/>
    <n v="5.3000000000000007"/>
    <n v="2.3239999999999998"/>
    <n v="0.4264069264069264"/>
    <x v="0"/>
    <n v="1.55"/>
  </r>
  <r>
    <d v="2025-03-16T00:00:00"/>
    <s v="March"/>
    <n v="11"/>
    <x v="4"/>
    <n v="0.4"/>
    <n v="0.45"/>
    <n v="1"/>
    <n v="5"/>
    <n v="0.78800000000000003"/>
    <n v="3.94"/>
    <n v="5.3000000000000007"/>
    <n v="2.3239999999999998"/>
    <n v="0.4264069264069264"/>
    <x v="1"/>
    <n v="6.02"/>
  </r>
  <r>
    <d v="2025-03-16T00:00:00"/>
    <s v="March"/>
    <n v="11"/>
    <x v="4"/>
    <n v="0.4"/>
    <n v="0.45"/>
    <n v="1"/>
    <n v="5"/>
    <n v="0.78800000000000003"/>
    <n v="3.94"/>
    <n v="5.3000000000000007"/>
    <n v="2.3239999999999998"/>
    <n v="0.4264069264069264"/>
    <x v="2"/>
    <n v="1.94"/>
  </r>
  <r>
    <d v="2025-03-16T00:00:00"/>
    <s v="March"/>
    <n v="11"/>
    <x v="4"/>
    <n v="0.4"/>
    <n v="0.45"/>
    <n v="1"/>
    <n v="5"/>
    <n v="0.78800000000000003"/>
    <n v="3.94"/>
    <n v="5.3000000000000007"/>
    <n v="2.3239999999999998"/>
    <n v="0.4264069264069264"/>
    <x v="3"/>
    <n v="2.4"/>
  </r>
  <r>
    <d v="2025-03-16T00:00:00"/>
    <s v="March"/>
    <n v="11"/>
    <x v="4"/>
    <n v="0.4"/>
    <n v="0.45"/>
    <n v="1"/>
    <n v="5"/>
    <n v="0.78800000000000003"/>
    <n v="3.94"/>
    <n v="5.3000000000000007"/>
    <n v="2.3239999999999998"/>
    <n v="0.4264069264069264"/>
    <x v="4"/>
    <n v="2.5"/>
  </r>
  <r>
    <d v="2025-03-17T00:00:00"/>
    <s v="March"/>
    <n v="12"/>
    <x v="5"/>
    <n v="0.09"/>
    <n v="0.26"/>
    <n v="2"/>
    <n v="7"/>
    <n v="0.70142857142857129"/>
    <n v="4.9099999999999993"/>
    <n v="5.68"/>
    <n v="3.0549999999999993"/>
    <n v="0.46364494806421147"/>
    <x v="0"/>
    <n v="3.01"/>
  </r>
  <r>
    <d v="2025-03-17T00:00:00"/>
    <s v="March"/>
    <n v="12"/>
    <x v="5"/>
    <n v="0.09"/>
    <n v="0.26"/>
    <n v="2"/>
    <n v="7"/>
    <n v="0.70142857142857129"/>
    <n v="4.9099999999999993"/>
    <n v="5.68"/>
    <n v="3.0549999999999993"/>
    <n v="0.46364494806421147"/>
    <x v="1"/>
    <n v="6.94"/>
  </r>
  <r>
    <d v="2025-03-17T00:00:00"/>
    <s v="March"/>
    <n v="12"/>
    <x v="5"/>
    <n v="0.09"/>
    <n v="0.26"/>
    <n v="2"/>
    <n v="7"/>
    <n v="0.70142857142857129"/>
    <n v="4.9099999999999993"/>
    <n v="5.68"/>
    <n v="3.0549999999999993"/>
    <n v="0.46364494806421147"/>
    <x v="2"/>
    <n v="1.64"/>
  </r>
  <r>
    <d v="2025-03-17T00:00:00"/>
    <s v="March"/>
    <n v="12"/>
    <x v="5"/>
    <n v="0.09"/>
    <n v="0.26"/>
    <n v="2"/>
    <n v="7"/>
    <n v="0.70142857142857129"/>
    <n v="4.9099999999999993"/>
    <n v="5.68"/>
    <n v="3.0549999999999993"/>
    <n v="0.46364494806421147"/>
    <x v="3"/>
    <n v="3.58"/>
  </r>
  <r>
    <d v="2025-03-17T00:00:00"/>
    <s v="March"/>
    <n v="12"/>
    <x v="5"/>
    <n v="0.09"/>
    <n v="0.26"/>
    <n v="2"/>
    <n v="7"/>
    <n v="0.70142857142857129"/>
    <n v="4.9099999999999993"/>
    <n v="5.68"/>
    <n v="3.0549999999999993"/>
    <n v="0.46364494806421147"/>
    <x v="4"/>
    <n v="2.0099999999999998"/>
  </r>
  <r>
    <d v="2025-03-18T00:00:00"/>
    <s v="March"/>
    <n v="12"/>
    <x v="6"/>
    <n v="1.53"/>
    <n v="1.04"/>
    <n v="1"/>
    <n v="7"/>
    <n v="0.69000000000000006"/>
    <n v="4.83"/>
    <n v="5.9200000000000008"/>
    <n v="2.8000000000000003"/>
    <n v="0.44930232558139538"/>
    <x v="0"/>
    <n v="3.09"/>
  </r>
  <r>
    <d v="2025-03-18T00:00:00"/>
    <s v="March"/>
    <n v="12"/>
    <x v="6"/>
    <n v="1.53"/>
    <n v="1.04"/>
    <n v="1"/>
    <n v="7"/>
    <n v="0.69000000000000006"/>
    <n v="4.83"/>
    <n v="5.9200000000000008"/>
    <n v="2.8000000000000003"/>
    <n v="0.44930232558139538"/>
    <x v="1"/>
    <n v="6.21"/>
  </r>
  <r>
    <d v="2025-03-18T00:00:00"/>
    <s v="March"/>
    <n v="12"/>
    <x v="6"/>
    <n v="1.53"/>
    <n v="1.04"/>
    <n v="1"/>
    <n v="7"/>
    <n v="0.69000000000000006"/>
    <n v="4.83"/>
    <n v="5.9200000000000008"/>
    <n v="2.8000000000000003"/>
    <n v="0.44930232558139538"/>
    <x v="2"/>
    <n v="0.7"/>
  </r>
  <r>
    <d v="2025-03-18T00:00:00"/>
    <s v="March"/>
    <n v="12"/>
    <x v="6"/>
    <n v="1.53"/>
    <n v="1.04"/>
    <n v="1"/>
    <n v="7"/>
    <n v="0.69000000000000006"/>
    <n v="4.83"/>
    <n v="5.9200000000000008"/>
    <n v="2.8000000000000003"/>
    <n v="0.44930232558139538"/>
    <x v="3"/>
    <n v="3.04"/>
  </r>
  <r>
    <d v="2025-03-18T00:00:00"/>
    <s v="March"/>
    <n v="12"/>
    <x v="6"/>
    <n v="1.53"/>
    <n v="1.04"/>
    <n v="1"/>
    <n v="7"/>
    <n v="0.69000000000000006"/>
    <n v="4.83"/>
    <n v="5.9200000000000008"/>
    <n v="2.8000000000000003"/>
    <n v="0.44930232558139538"/>
    <x v="4"/>
    <n v="1.35"/>
  </r>
  <r>
    <d v="2025-03-19T00:00:00"/>
    <s v="March"/>
    <n v="12"/>
    <x v="0"/>
    <n v="1.26"/>
    <n v="1.35"/>
    <n v="8"/>
    <n v="7"/>
    <n v="0.94857142857142862"/>
    <n v="6.6400000000000006"/>
    <n v="5.92"/>
    <n v="3.4409999999999998"/>
    <n v="0.5286624203821656"/>
    <x v="0"/>
    <n v="4.03"/>
  </r>
  <r>
    <d v="2025-03-19T00:00:00"/>
    <s v="March"/>
    <n v="12"/>
    <x v="0"/>
    <n v="1.26"/>
    <n v="1.35"/>
    <n v="8"/>
    <n v="7"/>
    <n v="0.94857142857142862"/>
    <n v="6.6400000000000006"/>
    <n v="5.92"/>
    <n v="3.4409999999999998"/>
    <n v="0.5286624203821656"/>
    <x v="1"/>
    <n v="6.81"/>
  </r>
  <r>
    <d v="2025-03-19T00:00:00"/>
    <s v="March"/>
    <n v="12"/>
    <x v="0"/>
    <n v="1.26"/>
    <n v="1.35"/>
    <n v="8"/>
    <n v="7"/>
    <n v="0.94857142857142862"/>
    <n v="6.6400000000000006"/>
    <n v="5.92"/>
    <n v="3.4409999999999998"/>
    <n v="0.5286624203821656"/>
    <x v="2"/>
    <n v="1.26"/>
  </r>
  <r>
    <d v="2025-03-19T00:00:00"/>
    <s v="March"/>
    <n v="12"/>
    <x v="0"/>
    <n v="1.26"/>
    <n v="1.35"/>
    <n v="8"/>
    <n v="7"/>
    <n v="0.94857142857142862"/>
    <n v="6.6400000000000006"/>
    <n v="5.92"/>
    <n v="3.4409999999999998"/>
    <n v="0.5286624203821656"/>
    <x v="3"/>
    <n v="1.68"/>
  </r>
  <r>
    <d v="2025-03-19T00:00:00"/>
    <s v="March"/>
    <n v="12"/>
    <x v="0"/>
    <n v="1.26"/>
    <n v="1.35"/>
    <n v="8"/>
    <n v="7"/>
    <n v="0.94857142857142862"/>
    <n v="6.6400000000000006"/>
    <n v="5.92"/>
    <n v="3.4409999999999998"/>
    <n v="0.5286624203821656"/>
    <x v="4"/>
    <n v="2.98"/>
  </r>
  <r>
    <d v="2025-03-20T00:00:00"/>
    <s v="March"/>
    <n v="12"/>
    <x v="1"/>
    <n v="0.56000000000000005"/>
    <n v="0.65"/>
    <n v="2"/>
    <n v="7"/>
    <n v="0.74428571428571433"/>
    <n v="5.21"/>
    <n v="6.68"/>
    <n v="3.0960000000000001"/>
    <n v="0.43818334735071485"/>
    <x v="0"/>
    <n v="3.84"/>
  </r>
  <r>
    <d v="2025-03-20T00:00:00"/>
    <s v="March"/>
    <n v="12"/>
    <x v="1"/>
    <n v="0.56000000000000005"/>
    <n v="0.65"/>
    <n v="2"/>
    <n v="7"/>
    <n v="0.74428571428571433"/>
    <n v="5.21"/>
    <n v="6.68"/>
    <n v="3.0960000000000001"/>
    <n v="0.43818334735071485"/>
    <x v="1"/>
    <n v="6.76"/>
  </r>
  <r>
    <d v="2025-03-20T00:00:00"/>
    <s v="March"/>
    <n v="12"/>
    <x v="1"/>
    <n v="0.56000000000000005"/>
    <n v="0.65"/>
    <n v="2"/>
    <n v="7"/>
    <n v="0.74428571428571433"/>
    <n v="5.21"/>
    <n v="6.68"/>
    <n v="3.0960000000000001"/>
    <n v="0.43818334735071485"/>
    <x v="2"/>
    <n v="0.72"/>
  </r>
  <r>
    <d v="2025-03-20T00:00:00"/>
    <s v="March"/>
    <n v="12"/>
    <x v="1"/>
    <n v="0.56000000000000005"/>
    <n v="0.65"/>
    <n v="2"/>
    <n v="7"/>
    <n v="0.74428571428571433"/>
    <n v="5.21"/>
    <n v="6.68"/>
    <n v="3.0960000000000001"/>
    <n v="0.43818334735071485"/>
    <x v="3"/>
    <n v="4.71"/>
  </r>
  <r>
    <d v="2025-03-20T00:00:00"/>
    <s v="March"/>
    <n v="12"/>
    <x v="1"/>
    <n v="0.56000000000000005"/>
    <n v="0.65"/>
    <n v="2"/>
    <n v="7"/>
    <n v="0.74428571428571433"/>
    <n v="5.21"/>
    <n v="6.68"/>
    <n v="3.0960000000000001"/>
    <n v="0.43818334735071485"/>
    <x v="4"/>
    <n v="1.41"/>
  </r>
  <r>
    <d v="2025-03-21T00:00:00"/>
    <s v="March"/>
    <n v="12"/>
    <x v="2"/>
    <n v="0.8"/>
    <n v="1.2"/>
    <n v="10"/>
    <n v="7"/>
    <n v="0.34142857142857147"/>
    <n v="2.39"/>
    <n v="5.87"/>
    <n v="2.3239999999999998"/>
    <n v="0.28934624697336564"/>
    <x v="0"/>
    <n v="1.07"/>
  </r>
  <r>
    <d v="2025-03-21T00:00:00"/>
    <s v="March"/>
    <n v="12"/>
    <x v="2"/>
    <n v="0.8"/>
    <n v="1.2"/>
    <n v="10"/>
    <n v="7"/>
    <n v="0.34142857142857147"/>
    <n v="2.39"/>
    <n v="5.87"/>
    <n v="2.3239999999999998"/>
    <n v="0.28934624697336564"/>
    <x v="1"/>
    <n v="7.93"/>
  </r>
  <r>
    <d v="2025-03-21T00:00:00"/>
    <s v="March"/>
    <n v="12"/>
    <x v="2"/>
    <n v="0.8"/>
    <n v="1.2"/>
    <n v="10"/>
    <n v="7"/>
    <n v="0.34142857142857147"/>
    <n v="2.39"/>
    <n v="5.87"/>
    <n v="2.3239999999999998"/>
    <n v="0.28934624697336564"/>
    <x v="2"/>
    <n v="0.12"/>
  </r>
  <r>
    <d v="2025-03-21T00:00:00"/>
    <s v="March"/>
    <n v="12"/>
    <x v="2"/>
    <n v="0.8"/>
    <n v="1.2"/>
    <n v="10"/>
    <n v="7"/>
    <n v="0.34142857142857147"/>
    <n v="2.39"/>
    <n v="5.87"/>
    <n v="2.3239999999999998"/>
    <n v="0.28934624697336564"/>
    <x v="3"/>
    <n v="3.63"/>
  </r>
  <r>
    <d v="2025-03-21T00:00:00"/>
    <s v="March"/>
    <n v="12"/>
    <x v="2"/>
    <n v="0.8"/>
    <n v="1.2"/>
    <n v="10"/>
    <n v="7"/>
    <n v="0.34142857142857147"/>
    <n v="2.39"/>
    <n v="5.87"/>
    <n v="2.3239999999999998"/>
    <n v="0.28934624697336564"/>
    <x v="4"/>
    <n v="1.44"/>
  </r>
  <r>
    <d v="2025-03-22T00:00:00"/>
    <s v="March"/>
    <n v="12"/>
    <x v="3"/>
    <n v="1.04"/>
    <n v="0.18"/>
    <n v="4"/>
    <n v="5"/>
    <n v="0.93200000000000005"/>
    <n v="4.66"/>
    <n v="5.1000000000000005"/>
    <n v="3.5710000000000002"/>
    <n v="0.47745901639344257"/>
    <x v="0"/>
    <n v="3.6"/>
  </r>
  <r>
    <d v="2025-03-22T00:00:00"/>
    <s v="March"/>
    <n v="12"/>
    <x v="3"/>
    <n v="1.04"/>
    <n v="0.18"/>
    <n v="4"/>
    <n v="5"/>
    <n v="0.93200000000000005"/>
    <n v="4.66"/>
    <n v="5.1000000000000005"/>
    <n v="3.5710000000000002"/>
    <n v="0.47745901639344257"/>
    <x v="1"/>
    <n v="7.87"/>
  </r>
  <r>
    <d v="2025-03-22T00:00:00"/>
    <s v="March"/>
    <n v="12"/>
    <x v="3"/>
    <n v="1.04"/>
    <n v="0.18"/>
    <n v="4"/>
    <n v="5"/>
    <n v="0.93200000000000005"/>
    <n v="4.66"/>
    <n v="5.1000000000000005"/>
    <n v="3.5710000000000002"/>
    <n v="0.47745901639344257"/>
    <x v="2"/>
    <n v="0.88"/>
  </r>
  <r>
    <d v="2025-03-22T00:00:00"/>
    <s v="March"/>
    <n v="12"/>
    <x v="3"/>
    <n v="1.04"/>
    <n v="0.18"/>
    <n v="4"/>
    <n v="5"/>
    <n v="0.93200000000000005"/>
    <n v="4.66"/>
    <n v="5.1000000000000005"/>
    <n v="3.5710000000000002"/>
    <n v="0.47745901639344257"/>
    <x v="3"/>
    <n v="1.33"/>
  </r>
  <r>
    <d v="2025-03-22T00:00:00"/>
    <s v="March"/>
    <n v="12"/>
    <x v="3"/>
    <n v="1.04"/>
    <n v="0.18"/>
    <n v="4"/>
    <n v="5"/>
    <n v="0.93200000000000005"/>
    <n v="4.66"/>
    <n v="5.1000000000000005"/>
    <n v="3.5710000000000002"/>
    <n v="0.47745901639344257"/>
    <x v="4"/>
    <n v="2.73"/>
  </r>
  <r>
    <d v="2025-03-23T00:00:00"/>
    <s v="March"/>
    <n v="12"/>
    <x v="4"/>
    <n v="1.78"/>
    <n v="0.7"/>
    <n v="9"/>
    <n v="5"/>
    <n v="0.88400000000000001"/>
    <n v="4.42"/>
    <n v="5.1100000000000003"/>
    <n v="2.7759999999999998"/>
    <n v="0.46379853095487927"/>
    <x v="0"/>
    <n v="3.59"/>
  </r>
  <r>
    <d v="2025-03-23T00:00:00"/>
    <s v="March"/>
    <n v="12"/>
    <x v="4"/>
    <n v="1.78"/>
    <n v="0.7"/>
    <n v="9"/>
    <n v="5"/>
    <n v="0.88400000000000001"/>
    <n v="4.42"/>
    <n v="5.1100000000000003"/>
    <n v="2.7759999999999998"/>
    <n v="0.46379853095487927"/>
    <x v="1"/>
    <n v="5.49"/>
  </r>
  <r>
    <d v="2025-03-23T00:00:00"/>
    <s v="March"/>
    <n v="12"/>
    <x v="4"/>
    <n v="1.78"/>
    <n v="0.7"/>
    <n v="9"/>
    <n v="5"/>
    <n v="0.88400000000000001"/>
    <n v="4.42"/>
    <n v="5.1100000000000003"/>
    <n v="2.7759999999999998"/>
    <n v="0.46379853095487927"/>
    <x v="2"/>
    <n v="0.13"/>
  </r>
  <r>
    <d v="2025-03-23T00:00:00"/>
    <s v="March"/>
    <n v="12"/>
    <x v="4"/>
    <n v="1.78"/>
    <n v="0.7"/>
    <n v="9"/>
    <n v="5"/>
    <n v="0.88400000000000001"/>
    <n v="4.42"/>
    <n v="5.1100000000000003"/>
    <n v="2.7759999999999998"/>
    <n v="0.46379853095487927"/>
    <x v="3"/>
    <n v="2.06"/>
  </r>
  <r>
    <d v="2025-03-23T00:00:00"/>
    <s v="March"/>
    <n v="12"/>
    <x v="4"/>
    <n v="1.78"/>
    <n v="0.7"/>
    <n v="9"/>
    <n v="5"/>
    <n v="0.88400000000000001"/>
    <n v="4.42"/>
    <n v="5.1100000000000003"/>
    <n v="2.7759999999999998"/>
    <n v="0.46379853095487927"/>
    <x v="4"/>
    <n v="1.27"/>
  </r>
  <r>
    <d v="2025-03-24T00:00:00"/>
    <s v="March"/>
    <n v="13"/>
    <x v="5"/>
    <n v="0.35"/>
    <n v="0.92"/>
    <n v="7"/>
    <n v="7"/>
    <n v="0.50571428571428567"/>
    <n v="3.54"/>
    <n v="5.0599999999999996"/>
    <n v="2.4419999999999997"/>
    <n v="0.41162790697674423"/>
    <x v="0"/>
    <n v="2.42"/>
  </r>
  <r>
    <d v="2025-03-24T00:00:00"/>
    <s v="March"/>
    <n v="13"/>
    <x v="5"/>
    <n v="0.35"/>
    <n v="0.92"/>
    <n v="7"/>
    <n v="7"/>
    <n v="0.50571428571428567"/>
    <n v="3.54"/>
    <n v="5.0599999999999996"/>
    <n v="2.4419999999999997"/>
    <n v="0.41162790697674423"/>
    <x v="1"/>
    <n v="6.35"/>
  </r>
  <r>
    <d v="2025-03-24T00:00:00"/>
    <s v="March"/>
    <n v="13"/>
    <x v="5"/>
    <n v="0.35"/>
    <n v="0.92"/>
    <n v="7"/>
    <n v="7"/>
    <n v="0.50571428571428567"/>
    <n v="3.54"/>
    <n v="5.0599999999999996"/>
    <n v="2.4419999999999997"/>
    <n v="0.41162790697674423"/>
    <x v="2"/>
    <n v="0.2"/>
  </r>
  <r>
    <d v="2025-03-24T00:00:00"/>
    <s v="March"/>
    <n v="13"/>
    <x v="5"/>
    <n v="0.35"/>
    <n v="0.92"/>
    <n v="7"/>
    <n v="7"/>
    <n v="0.50571428571428567"/>
    <n v="3.54"/>
    <n v="5.0599999999999996"/>
    <n v="2.4419999999999997"/>
    <n v="0.41162790697674423"/>
    <x v="3"/>
    <n v="2.3199999999999998"/>
  </r>
  <r>
    <d v="2025-03-24T00:00:00"/>
    <s v="March"/>
    <n v="13"/>
    <x v="5"/>
    <n v="0.35"/>
    <n v="0.92"/>
    <n v="7"/>
    <n v="7"/>
    <n v="0.50571428571428567"/>
    <n v="3.54"/>
    <n v="5.0599999999999996"/>
    <n v="2.4419999999999997"/>
    <n v="0.41162790697674423"/>
    <x v="4"/>
    <n v="2.39"/>
  </r>
  <r>
    <d v="2025-03-25T00:00:00"/>
    <s v="March"/>
    <n v="13"/>
    <x v="6"/>
    <n v="1.37"/>
    <n v="1.49"/>
    <n v="5"/>
    <n v="7"/>
    <n v="1"/>
    <n v="8.1900000000000013"/>
    <n v="2.99"/>
    <n v="3.9930000000000003"/>
    <n v="0.73255813953488369"/>
    <x v="0"/>
    <n v="5.45"/>
  </r>
  <r>
    <d v="2025-03-25T00:00:00"/>
    <s v="March"/>
    <n v="13"/>
    <x v="6"/>
    <n v="1.37"/>
    <n v="1.49"/>
    <n v="5"/>
    <n v="7"/>
    <n v="1"/>
    <n v="8.1900000000000013"/>
    <n v="2.99"/>
    <n v="3.9930000000000003"/>
    <n v="0.73255813953488369"/>
    <x v="1"/>
    <n v="5.75"/>
  </r>
  <r>
    <d v="2025-03-25T00:00:00"/>
    <s v="March"/>
    <n v="13"/>
    <x v="6"/>
    <n v="1.37"/>
    <n v="1.49"/>
    <n v="5"/>
    <n v="7"/>
    <n v="1"/>
    <n v="8.1900000000000013"/>
    <n v="2.99"/>
    <n v="3.9930000000000003"/>
    <n v="0.73255813953488369"/>
    <x v="2"/>
    <n v="1.25"/>
  </r>
  <r>
    <d v="2025-03-25T00:00:00"/>
    <s v="March"/>
    <n v="13"/>
    <x v="6"/>
    <n v="1.37"/>
    <n v="1.49"/>
    <n v="5"/>
    <n v="7"/>
    <n v="1"/>
    <n v="8.1900000000000013"/>
    <n v="2.99"/>
    <n v="3.9930000000000003"/>
    <n v="0.73255813953488369"/>
    <x v="3"/>
    <n v="1.03"/>
  </r>
  <r>
    <d v="2025-03-25T00:00:00"/>
    <s v="March"/>
    <n v="13"/>
    <x v="6"/>
    <n v="1.37"/>
    <n v="1.49"/>
    <n v="5"/>
    <n v="7"/>
    <n v="1"/>
    <n v="8.1900000000000013"/>
    <n v="2.99"/>
    <n v="3.9930000000000003"/>
    <n v="0.73255813953488369"/>
    <x v="4"/>
    <n v="0.59"/>
  </r>
  <r>
    <d v="2025-03-26T00:00:00"/>
    <s v="March"/>
    <n v="13"/>
    <x v="0"/>
    <n v="1.5"/>
    <n v="0.16"/>
    <n v="9"/>
    <n v="7"/>
    <n v="0.69142857142857139"/>
    <n v="4.84"/>
    <n v="5.66"/>
    <n v="3.4470000000000001"/>
    <n v="0.46095238095238095"/>
    <x v="0"/>
    <n v="3.13"/>
  </r>
  <r>
    <d v="2025-03-26T00:00:00"/>
    <s v="March"/>
    <n v="13"/>
    <x v="0"/>
    <n v="1.5"/>
    <n v="0.16"/>
    <n v="9"/>
    <n v="7"/>
    <n v="0.69142857142857139"/>
    <n v="4.84"/>
    <n v="5.66"/>
    <n v="3.4470000000000001"/>
    <n v="0.46095238095238095"/>
    <x v="1"/>
    <n v="7.67"/>
  </r>
  <r>
    <d v="2025-03-26T00:00:00"/>
    <s v="March"/>
    <n v="13"/>
    <x v="0"/>
    <n v="1.5"/>
    <n v="0.16"/>
    <n v="9"/>
    <n v="7"/>
    <n v="0.69142857142857139"/>
    <n v="4.84"/>
    <n v="5.66"/>
    <n v="3.4470000000000001"/>
    <n v="0.46095238095238095"/>
    <x v="2"/>
    <n v="1.55"/>
  </r>
  <r>
    <d v="2025-03-26T00:00:00"/>
    <s v="March"/>
    <n v="13"/>
    <x v="0"/>
    <n v="1.5"/>
    <n v="0.16"/>
    <n v="9"/>
    <n v="7"/>
    <n v="0.69142857142857139"/>
    <n v="4.84"/>
    <n v="5.66"/>
    <n v="3.4470000000000001"/>
    <n v="0.46095238095238095"/>
    <x v="3"/>
    <n v="1.88"/>
  </r>
  <r>
    <d v="2025-03-26T00:00:00"/>
    <s v="March"/>
    <n v="13"/>
    <x v="0"/>
    <n v="1.5"/>
    <n v="0.16"/>
    <n v="9"/>
    <n v="7"/>
    <n v="0.69142857142857139"/>
    <n v="4.84"/>
    <n v="5.66"/>
    <n v="3.4470000000000001"/>
    <n v="0.46095238095238095"/>
    <x v="4"/>
    <n v="2.2799999999999998"/>
  </r>
  <r>
    <d v="2025-03-27T00:00:00"/>
    <s v="March"/>
    <n v="13"/>
    <x v="1"/>
    <n v="1.08"/>
    <n v="1.01"/>
    <n v="10"/>
    <n v="7"/>
    <n v="0.90571428571428569"/>
    <n v="6.34"/>
    <n v="4.2200000000000006"/>
    <n v="3.4380000000000002"/>
    <n v="0.60037878787878785"/>
    <x v="0"/>
    <n v="3.68"/>
  </r>
  <r>
    <d v="2025-03-27T00:00:00"/>
    <s v="March"/>
    <n v="13"/>
    <x v="1"/>
    <n v="1.08"/>
    <n v="1.01"/>
    <n v="10"/>
    <n v="7"/>
    <n v="0.90571428571428569"/>
    <n v="6.34"/>
    <n v="4.2200000000000006"/>
    <n v="3.4380000000000002"/>
    <n v="0.60037878787878785"/>
    <x v="1"/>
    <n v="6.5"/>
  </r>
  <r>
    <d v="2025-03-27T00:00:00"/>
    <s v="March"/>
    <n v="13"/>
    <x v="1"/>
    <n v="1.08"/>
    <n v="1.01"/>
    <n v="10"/>
    <n v="7"/>
    <n v="0.90571428571428569"/>
    <n v="6.34"/>
    <n v="4.2200000000000006"/>
    <n v="3.4380000000000002"/>
    <n v="0.60037878787878785"/>
    <x v="2"/>
    <n v="1.65"/>
  </r>
  <r>
    <d v="2025-03-27T00:00:00"/>
    <s v="March"/>
    <n v="13"/>
    <x v="1"/>
    <n v="1.08"/>
    <n v="1.01"/>
    <n v="10"/>
    <n v="7"/>
    <n v="0.90571428571428569"/>
    <n v="6.34"/>
    <n v="4.2200000000000006"/>
    <n v="3.4380000000000002"/>
    <n v="0.60037878787878785"/>
    <x v="3"/>
    <n v="2.74"/>
  </r>
  <r>
    <d v="2025-03-27T00:00:00"/>
    <s v="March"/>
    <n v="13"/>
    <x v="1"/>
    <n v="1.08"/>
    <n v="1.01"/>
    <n v="10"/>
    <n v="7"/>
    <n v="0.90571428571428569"/>
    <n v="6.34"/>
    <n v="4.2200000000000006"/>
    <n v="3.4380000000000002"/>
    <n v="0.60037878787878785"/>
    <x v="4"/>
    <n v="0.4"/>
  </r>
  <r>
    <d v="2025-03-28T00:00:00"/>
    <s v="March"/>
    <n v="13"/>
    <x v="2"/>
    <n v="0.69"/>
    <n v="0.47"/>
    <n v="10"/>
    <n v="7"/>
    <n v="0.92999999999999994"/>
    <n v="6.51"/>
    <n v="5.3100000000000005"/>
    <n v="4.194"/>
    <n v="0.55076142131979688"/>
    <x v="0"/>
    <n v="4.88"/>
  </r>
  <r>
    <d v="2025-03-28T00:00:00"/>
    <s v="March"/>
    <n v="13"/>
    <x v="2"/>
    <n v="0.69"/>
    <n v="0.47"/>
    <n v="10"/>
    <n v="7"/>
    <n v="0.92999999999999994"/>
    <n v="6.51"/>
    <n v="5.3100000000000005"/>
    <n v="4.194"/>
    <n v="0.55076142131979688"/>
    <x v="1"/>
    <n v="8.24"/>
  </r>
  <r>
    <d v="2025-03-28T00:00:00"/>
    <s v="March"/>
    <n v="13"/>
    <x v="2"/>
    <n v="0.69"/>
    <n v="0.47"/>
    <n v="10"/>
    <n v="7"/>
    <n v="0.92999999999999994"/>
    <n v="6.51"/>
    <n v="5.3100000000000005"/>
    <n v="4.194"/>
    <n v="0.55076142131979688"/>
    <x v="2"/>
    <n v="1.1599999999999999"/>
  </r>
  <r>
    <d v="2025-03-28T00:00:00"/>
    <s v="March"/>
    <n v="13"/>
    <x v="2"/>
    <n v="0.69"/>
    <n v="0.47"/>
    <n v="10"/>
    <n v="7"/>
    <n v="0.92999999999999994"/>
    <n v="6.51"/>
    <n v="5.3100000000000005"/>
    <n v="4.194"/>
    <n v="0.55076142131979688"/>
    <x v="3"/>
    <n v="2.1800000000000002"/>
  </r>
  <r>
    <d v="2025-03-28T00:00:00"/>
    <s v="March"/>
    <n v="13"/>
    <x v="2"/>
    <n v="0.69"/>
    <n v="0.47"/>
    <n v="10"/>
    <n v="7"/>
    <n v="0.92999999999999994"/>
    <n v="6.51"/>
    <n v="5.3100000000000005"/>
    <n v="4.194"/>
    <n v="0.55076142131979688"/>
    <x v="4"/>
    <n v="2.44"/>
  </r>
  <r>
    <d v="2025-03-29T00:00:00"/>
    <s v="March"/>
    <n v="13"/>
    <x v="3"/>
    <n v="0.99"/>
    <n v="0.82"/>
    <n v="2"/>
    <n v="5"/>
    <n v="0.66399999999999992"/>
    <n v="3.32"/>
    <n v="6.08"/>
    <n v="2.8879999999999999"/>
    <n v="0.35319148936170208"/>
    <x v="0"/>
    <n v="1.1200000000000001"/>
  </r>
  <r>
    <d v="2025-03-29T00:00:00"/>
    <s v="March"/>
    <n v="13"/>
    <x v="3"/>
    <n v="0.99"/>
    <n v="0.82"/>
    <n v="2"/>
    <n v="5"/>
    <n v="0.66399999999999992"/>
    <n v="3.32"/>
    <n v="6.08"/>
    <n v="2.8879999999999999"/>
    <n v="0.35319148936170208"/>
    <x v="1"/>
    <n v="8.91"/>
  </r>
  <r>
    <d v="2025-03-29T00:00:00"/>
    <s v="March"/>
    <n v="13"/>
    <x v="3"/>
    <n v="0.99"/>
    <n v="0.82"/>
    <n v="2"/>
    <n v="5"/>
    <n v="0.66399999999999992"/>
    <n v="3.32"/>
    <n v="6.08"/>
    <n v="2.8879999999999999"/>
    <n v="0.35319148936170208"/>
    <x v="2"/>
    <n v="1.38"/>
  </r>
  <r>
    <d v="2025-03-29T00:00:00"/>
    <s v="March"/>
    <n v="13"/>
    <x v="3"/>
    <n v="0.99"/>
    <n v="0.82"/>
    <n v="2"/>
    <n v="5"/>
    <n v="0.66399999999999992"/>
    <n v="3.32"/>
    <n v="6.08"/>
    <n v="2.8879999999999999"/>
    <n v="0.35319148936170208"/>
    <x v="3"/>
    <n v="4.91"/>
  </r>
  <r>
    <d v="2025-03-29T00:00:00"/>
    <s v="March"/>
    <n v="13"/>
    <x v="3"/>
    <n v="0.99"/>
    <n v="0.82"/>
    <n v="2"/>
    <n v="5"/>
    <n v="0.66399999999999992"/>
    <n v="3.32"/>
    <n v="6.08"/>
    <n v="2.8879999999999999"/>
    <n v="0.35319148936170208"/>
    <x v="4"/>
    <n v="0.18"/>
  </r>
  <r>
    <d v="2025-03-30T00:00:00"/>
    <s v="March"/>
    <n v="13"/>
    <x v="4"/>
    <n v="0.85"/>
    <n v="0.27"/>
    <n v="8"/>
    <n v="5"/>
    <n v="1"/>
    <n v="6.6099999999999994"/>
    <n v="7.1999999999999993"/>
    <n v="3.4119999999999999"/>
    <n v="0.47863866763215063"/>
    <x v="0"/>
    <n v="5.84"/>
  </r>
  <r>
    <d v="2025-03-30T00:00:00"/>
    <s v="March"/>
    <n v="13"/>
    <x v="4"/>
    <n v="0.85"/>
    <n v="0.27"/>
    <n v="8"/>
    <n v="5"/>
    <n v="1"/>
    <n v="6.6099999999999994"/>
    <n v="7.1999999999999993"/>
    <n v="3.4119999999999999"/>
    <n v="0.47863866763215063"/>
    <x v="1"/>
    <n v="5.37"/>
  </r>
  <r>
    <d v="2025-03-30T00:00:00"/>
    <s v="March"/>
    <n v="13"/>
    <x v="4"/>
    <n v="0.85"/>
    <n v="0.27"/>
    <n v="8"/>
    <n v="5"/>
    <n v="1"/>
    <n v="6.6099999999999994"/>
    <n v="7.1999999999999993"/>
    <n v="3.4119999999999999"/>
    <n v="0.47863866763215063"/>
    <x v="2"/>
    <n v="0.5"/>
  </r>
  <r>
    <d v="2025-03-30T00:00:00"/>
    <s v="March"/>
    <n v="13"/>
    <x v="4"/>
    <n v="0.85"/>
    <n v="0.27"/>
    <n v="8"/>
    <n v="5"/>
    <n v="1"/>
    <n v="6.6099999999999994"/>
    <n v="7.1999999999999993"/>
    <n v="3.4119999999999999"/>
    <n v="0.47863866763215063"/>
    <x v="3"/>
    <n v="4.84"/>
  </r>
  <r>
    <d v="2025-03-30T00:00:00"/>
    <s v="March"/>
    <n v="13"/>
    <x v="4"/>
    <n v="0.85"/>
    <n v="0.27"/>
    <n v="8"/>
    <n v="5"/>
    <n v="1"/>
    <n v="6.6099999999999994"/>
    <n v="7.1999999999999993"/>
    <n v="3.4119999999999999"/>
    <n v="0.47863866763215063"/>
    <x v="4"/>
    <n v="1.51"/>
  </r>
  <r>
    <d v="2025-03-31T00:00:00"/>
    <s v="March"/>
    <n v="14"/>
    <x v="5"/>
    <n v="0.5"/>
    <n v="0.88"/>
    <n v="7"/>
    <n v="7"/>
    <n v="0.65428571428571425"/>
    <n v="4.58"/>
    <n v="3.5300000000000002"/>
    <n v="3.0920000000000001"/>
    <n v="0.56473489519112208"/>
    <x v="0"/>
    <n v="2.4900000000000002"/>
  </r>
  <r>
    <d v="2025-03-31T00:00:00"/>
    <s v="March"/>
    <n v="14"/>
    <x v="5"/>
    <n v="0.5"/>
    <n v="0.88"/>
    <n v="7"/>
    <n v="7"/>
    <n v="0.65428571428571425"/>
    <n v="4.58"/>
    <n v="3.5300000000000002"/>
    <n v="3.0920000000000001"/>
    <n v="0.56473489519112208"/>
    <x v="1"/>
    <n v="7.19"/>
  </r>
  <r>
    <d v="2025-03-31T00:00:00"/>
    <s v="March"/>
    <n v="14"/>
    <x v="5"/>
    <n v="0.5"/>
    <n v="0.88"/>
    <n v="7"/>
    <n v="7"/>
    <n v="0.65428571428571425"/>
    <n v="4.58"/>
    <n v="3.5300000000000002"/>
    <n v="3.0920000000000001"/>
    <n v="0.56473489519112208"/>
    <x v="2"/>
    <n v="1.21"/>
  </r>
  <r>
    <d v="2025-03-31T00:00:00"/>
    <s v="March"/>
    <n v="14"/>
    <x v="5"/>
    <n v="0.5"/>
    <n v="0.88"/>
    <n v="7"/>
    <n v="7"/>
    <n v="0.65428571428571425"/>
    <n v="4.58"/>
    <n v="3.5300000000000002"/>
    <n v="3.0920000000000001"/>
    <n v="0.56473489519112208"/>
    <x v="3"/>
    <n v="2.12"/>
  </r>
  <r>
    <d v="2025-03-31T00:00:00"/>
    <s v="March"/>
    <n v="14"/>
    <x v="5"/>
    <n v="0.5"/>
    <n v="0.88"/>
    <n v="7"/>
    <n v="7"/>
    <n v="0.65428571428571425"/>
    <n v="4.58"/>
    <n v="3.5300000000000002"/>
    <n v="3.0920000000000001"/>
    <n v="0.56473489519112208"/>
    <x v="4"/>
    <n v="0.91"/>
  </r>
  <r>
    <d v="2025-04-01T00:00:00"/>
    <s v="April"/>
    <n v="14"/>
    <x v="6"/>
    <n v="0.19"/>
    <n v="0.15"/>
    <n v="10"/>
    <n v="7"/>
    <n v="0.48428571428571432"/>
    <n v="3.39"/>
    <n v="3.46"/>
    <n v="2.9410000000000003"/>
    <n v="0.49489051094890513"/>
    <x v="0"/>
    <n v="1.97"/>
  </r>
  <r>
    <d v="2025-04-01T00:00:00"/>
    <s v="April"/>
    <n v="14"/>
    <x v="6"/>
    <n v="0.19"/>
    <n v="0.15"/>
    <n v="10"/>
    <n v="7"/>
    <n v="0.48428571428571432"/>
    <n v="3.39"/>
    <n v="3.46"/>
    <n v="2.9410000000000003"/>
    <n v="0.49489051094890513"/>
    <x v="1"/>
    <n v="7.42"/>
  </r>
  <r>
    <d v="2025-04-01T00:00:00"/>
    <s v="April"/>
    <n v="14"/>
    <x v="6"/>
    <n v="0.19"/>
    <n v="0.15"/>
    <n v="10"/>
    <n v="7"/>
    <n v="0.48428571428571432"/>
    <n v="3.39"/>
    <n v="3.46"/>
    <n v="2.9410000000000003"/>
    <n v="0.49489051094890513"/>
    <x v="2"/>
    <n v="1.27"/>
  </r>
  <r>
    <d v="2025-04-01T00:00:00"/>
    <s v="April"/>
    <n v="14"/>
    <x v="6"/>
    <n v="0.19"/>
    <n v="0.15"/>
    <n v="10"/>
    <n v="7"/>
    <n v="0.48428571428571432"/>
    <n v="3.39"/>
    <n v="3.46"/>
    <n v="2.9410000000000003"/>
    <n v="0.49489051094890513"/>
    <x v="3"/>
    <n v="1.43"/>
  </r>
  <r>
    <d v="2025-04-01T00:00:00"/>
    <s v="April"/>
    <n v="14"/>
    <x v="6"/>
    <n v="0.19"/>
    <n v="0.15"/>
    <n v="10"/>
    <n v="7"/>
    <n v="0.48428571428571432"/>
    <n v="3.39"/>
    <n v="3.46"/>
    <n v="2.9410000000000003"/>
    <n v="0.49489051094890513"/>
    <x v="4"/>
    <n v="1.84"/>
  </r>
  <r>
    <d v="2025-04-02T00:00:00"/>
    <s v="April"/>
    <n v="14"/>
    <x v="0"/>
    <n v="0.34"/>
    <n v="1.84"/>
    <n v="3"/>
    <n v="7"/>
    <n v="0.90857142857142847"/>
    <n v="6.3599999999999994"/>
    <n v="4.41"/>
    <n v="3.2709999999999999"/>
    <n v="0.59052924791086348"/>
    <x v="0"/>
    <n v="2.92"/>
  </r>
  <r>
    <d v="2025-04-02T00:00:00"/>
    <s v="April"/>
    <n v="14"/>
    <x v="0"/>
    <n v="0.34"/>
    <n v="1.84"/>
    <n v="3"/>
    <n v="7"/>
    <n v="0.90857142857142847"/>
    <n v="6.3599999999999994"/>
    <n v="4.41"/>
    <n v="3.2709999999999999"/>
    <n v="0.59052924791086348"/>
    <x v="1"/>
    <n v="7.3"/>
  </r>
  <r>
    <d v="2025-04-02T00:00:00"/>
    <s v="April"/>
    <n v="14"/>
    <x v="0"/>
    <n v="0.34"/>
    <n v="1.84"/>
    <n v="3"/>
    <n v="7"/>
    <n v="0.90857142857142847"/>
    <n v="6.3599999999999994"/>
    <n v="4.41"/>
    <n v="3.2709999999999999"/>
    <n v="0.59052924791086348"/>
    <x v="2"/>
    <n v="1.6"/>
  </r>
  <r>
    <d v="2025-04-02T00:00:00"/>
    <s v="April"/>
    <n v="14"/>
    <x v="0"/>
    <n v="0.34"/>
    <n v="1.84"/>
    <n v="3"/>
    <n v="7"/>
    <n v="0.90857142857142847"/>
    <n v="6.3599999999999994"/>
    <n v="4.41"/>
    <n v="3.2709999999999999"/>
    <n v="0.59052924791086348"/>
    <x v="3"/>
    <n v="1.1100000000000001"/>
  </r>
  <r>
    <d v="2025-04-02T00:00:00"/>
    <s v="April"/>
    <n v="14"/>
    <x v="0"/>
    <n v="0.34"/>
    <n v="1.84"/>
    <n v="3"/>
    <n v="7"/>
    <n v="0.90857142857142847"/>
    <n v="6.3599999999999994"/>
    <n v="4.41"/>
    <n v="3.2709999999999999"/>
    <n v="0.59052924791086348"/>
    <x v="4"/>
    <n v="2.96"/>
  </r>
  <r>
    <d v="2025-04-03T00:00:00"/>
    <s v="April"/>
    <n v="14"/>
    <x v="1"/>
    <n v="0.67"/>
    <n v="1.83"/>
    <n v="9"/>
    <n v="7"/>
    <n v="0.86285714285714299"/>
    <n v="6.0400000000000009"/>
    <n v="2.31"/>
    <n v="3.4169999999999998"/>
    <n v="0.72335329341317367"/>
    <x v="0"/>
    <n v="2.64"/>
  </r>
  <r>
    <d v="2025-04-03T00:00:00"/>
    <s v="April"/>
    <n v="14"/>
    <x v="1"/>
    <n v="0.67"/>
    <n v="1.83"/>
    <n v="9"/>
    <n v="7"/>
    <n v="0.86285714285714299"/>
    <n v="6.0400000000000009"/>
    <n v="2.31"/>
    <n v="3.4169999999999998"/>
    <n v="0.72335329341317367"/>
    <x v="1"/>
    <n v="7.37"/>
  </r>
  <r>
    <d v="2025-04-03T00:00:00"/>
    <s v="April"/>
    <n v="14"/>
    <x v="1"/>
    <n v="0.67"/>
    <n v="1.83"/>
    <n v="9"/>
    <n v="7"/>
    <n v="0.86285714285714299"/>
    <n v="6.0400000000000009"/>
    <n v="2.31"/>
    <n v="3.4169999999999998"/>
    <n v="0.72335329341317367"/>
    <x v="2"/>
    <n v="1.57"/>
  </r>
  <r>
    <d v="2025-04-03T00:00:00"/>
    <s v="April"/>
    <n v="14"/>
    <x v="1"/>
    <n v="0.67"/>
    <n v="1.83"/>
    <n v="9"/>
    <n v="7"/>
    <n v="0.86285714285714299"/>
    <n v="6.0400000000000009"/>
    <n v="2.31"/>
    <n v="3.4169999999999998"/>
    <n v="0.72335329341317367"/>
    <x v="3"/>
    <n v="1.22"/>
  </r>
  <r>
    <d v="2025-04-03T00:00:00"/>
    <s v="April"/>
    <n v="14"/>
    <x v="1"/>
    <n v="0.67"/>
    <n v="1.83"/>
    <n v="9"/>
    <n v="7"/>
    <n v="0.86285714285714299"/>
    <n v="6.0400000000000009"/>
    <n v="2.31"/>
    <n v="3.4169999999999998"/>
    <n v="0.72335329341317367"/>
    <x v="4"/>
    <n v="0.42"/>
  </r>
  <r>
    <d v="2025-04-04T00:00:00"/>
    <s v="April"/>
    <n v="14"/>
    <x v="2"/>
    <n v="0.15"/>
    <n v="1.89"/>
    <n v="5"/>
    <n v="7"/>
    <n v="1"/>
    <n v="9.2899999999999991"/>
    <n v="3.5"/>
    <n v="3.9800000000000004"/>
    <n v="0.72634870992963252"/>
    <x v="0"/>
    <n v="5.4"/>
  </r>
  <r>
    <d v="2025-04-04T00:00:00"/>
    <s v="April"/>
    <n v="14"/>
    <x v="2"/>
    <n v="0.15"/>
    <n v="1.89"/>
    <n v="5"/>
    <n v="7"/>
    <n v="1"/>
    <n v="9.2899999999999991"/>
    <n v="3.5"/>
    <n v="3.9800000000000004"/>
    <n v="0.72634870992963252"/>
    <x v="1"/>
    <n v="5.85"/>
  </r>
  <r>
    <d v="2025-04-04T00:00:00"/>
    <s v="April"/>
    <n v="14"/>
    <x v="2"/>
    <n v="0.15"/>
    <n v="1.89"/>
    <n v="5"/>
    <n v="7"/>
    <n v="1"/>
    <n v="9.2899999999999991"/>
    <n v="3.5"/>
    <n v="3.9800000000000004"/>
    <n v="0.72634870992963252"/>
    <x v="2"/>
    <n v="2"/>
  </r>
  <r>
    <d v="2025-04-04T00:00:00"/>
    <s v="April"/>
    <n v="14"/>
    <x v="2"/>
    <n v="0.15"/>
    <n v="1.89"/>
    <n v="5"/>
    <n v="7"/>
    <n v="1"/>
    <n v="9.2899999999999991"/>
    <n v="3.5"/>
    <n v="3.9800000000000004"/>
    <n v="0.72634870992963252"/>
    <x v="3"/>
    <n v="2.1800000000000002"/>
  </r>
  <r>
    <d v="2025-04-04T00:00:00"/>
    <s v="April"/>
    <n v="14"/>
    <x v="2"/>
    <n v="0.15"/>
    <n v="1.89"/>
    <n v="5"/>
    <n v="7"/>
    <n v="1"/>
    <n v="9.2899999999999991"/>
    <n v="3.5"/>
    <n v="3.9800000000000004"/>
    <n v="0.72634870992963252"/>
    <x v="4"/>
    <n v="1.17"/>
  </r>
  <r>
    <d v="2025-04-05T00:00:00"/>
    <s v="April"/>
    <n v="14"/>
    <x v="3"/>
    <n v="1.69"/>
    <n v="0.96"/>
    <n v="2"/>
    <n v="5"/>
    <n v="1"/>
    <n v="5.6499999999999995"/>
    <n v="5.5500000000000007"/>
    <n v="2.6909999999999998"/>
    <n v="0.5044642857142857"/>
    <x v="0"/>
    <n v="2.76"/>
  </r>
  <r>
    <d v="2025-04-05T00:00:00"/>
    <s v="April"/>
    <n v="14"/>
    <x v="3"/>
    <n v="1.69"/>
    <n v="0.96"/>
    <n v="2"/>
    <n v="5"/>
    <n v="1"/>
    <n v="5.6499999999999995"/>
    <n v="5.5500000000000007"/>
    <n v="2.6909999999999998"/>
    <n v="0.5044642857142857"/>
    <x v="1"/>
    <n v="5.29"/>
  </r>
  <r>
    <d v="2025-04-05T00:00:00"/>
    <s v="April"/>
    <n v="14"/>
    <x v="3"/>
    <n v="1.69"/>
    <n v="0.96"/>
    <n v="2"/>
    <n v="5"/>
    <n v="1"/>
    <n v="5.6499999999999995"/>
    <n v="5.5500000000000007"/>
    <n v="2.6909999999999998"/>
    <n v="0.5044642857142857"/>
    <x v="2"/>
    <n v="1.93"/>
  </r>
  <r>
    <d v="2025-04-05T00:00:00"/>
    <s v="April"/>
    <n v="14"/>
    <x v="3"/>
    <n v="1.69"/>
    <n v="0.96"/>
    <n v="2"/>
    <n v="5"/>
    <n v="1"/>
    <n v="5.6499999999999995"/>
    <n v="5.5500000000000007"/>
    <n v="2.6909999999999998"/>
    <n v="0.5044642857142857"/>
    <x v="3"/>
    <n v="2.4900000000000002"/>
  </r>
  <r>
    <d v="2025-04-05T00:00:00"/>
    <s v="April"/>
    <n v="14"/>
    <x v="3"/>
    <n v="1.69"/>
    <n v="0.96"/>
    <n v="2"/>
    <n v="5"/>
    <n v="1"/>
    <n v="5.6499999999999995"/>
    <n v="5.5500000000000007"/>
    <n v="2.6909999999999998"/>
    <n v="0.5044642857142857"/>
    <x v="4"/>
    <n v="1.37"/>
  </r>
  <r>
    <d v="2025-04-06T00:00:00"/>
    <s v="April"/>
    <n v="14"/>
    <x v="4"/>
    <n v="0.09"/>
    <n v="0.19"/>
    <n v="1"/>
    <n v="5"/>
    <n v="1"/>
    <n v="5.7700000000000005"/>
    <n v="4.9399999999999995"/>
    <n v="3.0910000000000002"/>
    <n v="0.5387488328664799"/>
    <x v="0"/>
    <n v="4.59"/>
  </r>
  <r>
    <d v="2025-04-06T00:00:00"/>
    <s v="April"/>
    <n v="14"/>
    <x v="4"/>
    <n v="0.09"/>
    <n v="0.19"/>
    <n v="1"/>
    <n v="5"/>
    <n v="1"/>
    <n v="5.7700000000000005"/>
    <n v="4.9399999999999995"/>
    <n v="3.0910000000000002"/>
    <n v="0.5387488328664799"/>
    <x v="1"/>
    <n v="5.14"/>
  </r>
  <r>
    <d v="2025-04-06T00:00:00"/>
    <s v="April"/>
    <n v="14"/>
    <x v="4"/>
    <n v="0.09"/>
    <n v="0.19"/>
    <n v="1"/>
    <n v="5"/>
    <n v="1"/>
    <n v="5.7700000000000005"/>
    <n v="4.9399999999999995"/>
    <n v="3.0910000000000002"/>
    <n v="0.5387488328664799"/>
    <x v="2"/>
    <n v="0.99"/>
  </r>
  <r>
    <d v="2025-04-06T00:00:00"/>
    <s v="April"/>
    <n v="14"/>
    <x v="4"/>
    <n v="0.09"/>
    <n v="0.19"/>
    <n v="1"/>
    <n v="5"/>
    <n v="1"/>
    <n v="5.7700000000000005"/>
    <n v="4.9399999999999995"/>
    <n v="3.0910000000000002"/>
    <n v="0.5387488328664799"/>
    <x v="3"/>
    <n v="1.96"/>
  </r>
  <r>
    <d v="2025-04-06T00:00:00"/>
    <s v="April"/>
    <n v="14"/>
    <x v="4"/>
    <n v="0.09"/>
    <n v="0.19"/>
    <n v="1"/>
    <n v="5"/>
    <n v="1"/>
    <n v="5.7700000000000005"/>
    <n v="4.9399999999999995"/>
    <n v="3.0910000000000002"/>
    <n v="0.5387488328664799"/>
    <x v="4"/>
    <n v="2.89"/>
  </r>
  <r>
    <d v="2025-04-07T00:00:00"/>
    <s v="April"/>
    <n v="15"/>
    <x v="5"/>
    <n v="1.49"/>
    <n v="0.63"/>
    <n v="2"/>
    <n v="7"/>
    <n v="0.53285714285714281"/>
    <n v="3.73"/>
    <n v="6.2"/>
    <n v="2.629"/>
    <n v="0.37562940584088622"/>
    <x v="0"/>
    <n v="2.2000000000000002"/>
  </r>
  <r>
    <d v="2025-04-07T00:00:00"/>
    <s v="April"/>
    <n v="15"/>
    <x v="5"/>
    <n v="1.49"/>
    <n v="0.63"/>
    <n v="2"/>
    <n v="7"/>
    <n v="0.53285714285714281"/>
    <n v="3.73"/>
    <n v="6.2"/>
    <n v="2.629"/>
    <n v="0.37562940584088622"/>
    <x v="1"/>
    <n v="6.8"/>
  </r>
  <r>
    <d v="2025-04-07T00:00:00"/>
    <s v="April"/>
    <n v="15"/>
    <x v="5"/>
    <n v="1.49"/>
    <n v="0.63"/>
    <n v="2"/>
    <n v="7"/>
    <n v="0.53285714285714281"/>
    <n v="3.73"/>
    <n v="6.2"/>
    <n v="2.629"/>
    <n v="0.37562940584088622"/>
    <x v="2"/>
    <n v="0.9"/>
  </r>
  <r>
    <d v="2025-04-07T00:00:00"/>
    <s v="April"/>
    <n v="15"/>
    <x v="5"/>
    <n v="1.49"/>
    <n v="0.63"/>
    <n v="2"/>
    <n v="7"/>
    <n v="0.53285714285714281"/>
    <n v="3.73"/>
    <n v="6.2"/>
    <n v="2.629"/>
    <n v="0.37562940584088622"/>
    <x v="3"/>
    <n v="4.18"/>
  </r>
  <r>
    <d v="2025-04-07T00:00:00"/>
    <s v="April"/>
    <n v="15"/>
    <x v="5"/>
    <n v="1.49"/>
    <n v="0.63"/>
    <n v="2"/>
    <n v="7"/>
    <n v="0.53285714285714281"/>
    <n v="3.73"/>
    <n v="6.2"/>
    <n v="2.629"/>
    <n v="0.37562940584088622"/>
    <x v="4"/>
    <n v="0.53"/>
  </r>
  <r>
    <d v="2025-04-08T00:00:00"/>
    <s v="April"/>
    <n v="15"/>
    <x v="6"/>
    <n v="0.87"/>
    <n v="1.04"/>
    <n v="5"/>
    <n v="7"/>
    <n v="0.44285714285714289"/>
    <n v="3.1"/>
    <n v="5.03"/>
    <n v="2.5939999999999999"/>
    <n v="0.38130381303813038"/>
    <x v="0"/>
    <n v="1.98"/>
  </r>
  <r>
    <d v="2025-04-08T00:00:00"/>
    <s v="April"/>
    <n v="15"/>
    <x v="6"/>
    <n v="0.87"/>
    <n v="1.04"/>
    <n v="5"/>
    <n v="7"/>
    <n v="0.44285714285714289"/>
    <n v="3.1"/>
    <n v="5.03"/>
    <n v="2.5939999999999999"/>
    <n v="0.38130381303813038"/>
    <x v="1"/>
    <n v="7.34"/>
  </r>
  <r>
    <d v="2025-04-08T00:00:00"/>
    <s v="April"/>
    <n v="15"/>
    <x v="6"/>
    <n v="0.87"/>
    <n v="1.04"/>
    <n v="5"/>
    <n v="7"/>
    <n v="0.44285714285714289"/>
    <n v="3.1"/>
    <n v="5.03"/>
    <n v="2.5939999999999999"/>
    <n v="0.38130381303813038"/>
    <x v="2"/>
    <n v="0.08"/>
  </r>
  <r>
    <d v="2025-04-08T00:00:00"/>
    <s v="April"/>
    <n v="15"/>
    <x v="6"/>
    <n v="0.87"/>
    <n v="1.04"/>
    <n v="5"/>
    <n v="7"/>
    <n v="0.44285714285714289"/>
    <n v="3.1"/>
    <n v="5.03"/>
    <n v="2.5939999999999999"/>
    <n v="0.38130381303813038"/>
    <x v="3"/>
    <n v="2.87"/>
  </r>
  <r>
    <d v="2025-04-08T00:00:00"/>
    <s v="April"/>
    <n v="15"/>
    <x v="6"/>
    <n v="0.87"/>
    <n v="1.04"/>
    <n v="5"/>
    <n v="7"/>
    <n v="0.44285714285714289"/>
    <n v="3.1"/>
    <n v="5.03"/>
    <n v="2.5939999999999999"/>
    <n v="0.38130381303813038"/>
    <x v="4"/>
    <n v="1.29"/>
  </r>
  <r>
    <d v="2025-04-09T00:00:00"/>
    <s v="April"/>
    <n v="15"/>
    <x v="0"/>
    <n v="0.71"/>
    <n v="1.86"/>
    <n v="6"/>
    <n v="7"/>
    <n v="0.50714285714285712"/>
    <n v="3.55"/>
    <n v="6.36"/>
    <n v="2.0799999999999996"/>
    <n v="0.35822401614530774"/>
    <x v="0"/>
    <n v="1.02"/>
  </r>
  <r>
    <d v="2025-04-09T00:00:00"/>
    <s v="April"/>
    <n v="15"/>
    <x v="0"/>
    <n v="0.71"/>
    <n v="1.86"/>
    <n v="6"/>
    <n v="7"/>
    <n v="0.50714285714285712"/>
    <n v="3.55"/>
    <n v="6.36"/>
    <n v="2.0799999999999996"/>
    <n v="0.35822401614530774"/>
    <x v="1"/>
    <n v="7.01"/>
  </r>
  <r>
    <d v="2025-04-09T00:00:00"/>
    <s v="April"/>
    <n v="15"/>
    <x v="0"/>
    <n v="0.71"/>
    <n v="1.86"/>
    <n v="6"/>
    <n v="7"/>
    <n v="0.50714285714285712"/>
    <n v="3.55"/>
    <n v="6.36"/>
    <n v="2.0799999999999996"/>
    <n v="0.35822401614530774"/>
    <x v="2"/>
    <n v="0.67"/>
  </r>
  <r>
    <d v="2025-04-09T00:00:00"/>
    <s v="April"/>
    <n v="15"/>
    <x v="0"/>
    <n v="0.71"/>
    <n v="1.86"/>
    <n v="6"/>
    <n v="7"/>
    <n v="0.50714285714285712"/>
    <n v="3.55"/>
    <n v="6.36"/>
    <n v="2.0799999999999996"/>
    <n v="0.35822401614530774"/>
    <x v="3"/>
    <n v="4.83"/>
  </r>
  <r>
    <d v="2025-04-09T00:00:00"/>
    <s v="April"/>
    <n v="15"/>
    <x v="0"/>
    <n v="0.71"/>
    <n v="1.86"/>
    <n v="6"/>
    <n v="7"/>
    <n v="0.50714285714285712"/>
    <n v="3.55"/>
    <n v="6.36"/>
    <n v="2.0799999999999996"/>
    <n v="0.35822401614530774"/>
    <x v="4"/>
    <n v="0.82"/>
  </r>
  <r>
    <d v="2025-04-10T00:00:00"/>
    <s v="April"/>
    <n v="15"/>
    <x v="1"/>
    <n v="1.39"/>
    <n v="0.05"/>
    <n v="2"/>
    <n v="7"/>
    <n v="0.76428571428571423"/>
    <n v="5.35"/>
    <n v="8.61"/>
    <n v="3.0379999999999998"/>
    <n v="0.38323782234957021"/>
    <x v="0"/>
    <n v="4.38"/>
  </r>
  <r>
    <d v="2025-04-10T00:00:00"/>
    <s v="April"/>
    <n v="15"/>
    <x v="1"/>
    <n v="1.39"/>
    <n v="0.05"/>
    <n v="2"/>
    <n v="7"/>
    <n v="0.76428571428571423"/>
    <n v="5.35"/>
    <n v="8.61"/>
    <n v="3.0379999999999998"/>
    <n v="0.38323782234957021"/>
    <x v="1"/>
    <n v="6.08"/>
  </r>
  <r>
    <d v="2025-04-10T00:00:00"/>
    <s v="April"/>
    <n v="15"/>
    <x v="1"/>
    <n v="1.39"/>
    <n v="0.05"/>
    <n v="2"/>
    <n v="7"/>
    <n v="0.76428571428571423"/>
    <n v="5.35"/>
    <n v="8.61"/>
    <n v="3.0379999999999998"/>
    <n v="0.38323782234957021"/>
    <x v="2"/>
    <n v="0.92"/>
  </r>
  <r>
    <d v="2025-04-10T00:00:00"/>
    <s v="April"/>
    <n v="15"/>
    <x v="1"/>
    <n v="1.39"/>
    <n v="0.05"/>
    <n v="2"/>
    <n v="7"/>
    <n v="0.76428571428571423"/>
    <n v="5.35"/>
    <n v="8.61"/>
    <n v="3.0379999999999998"/>
    <n v="0.38323782234957021"/>
    <x v="3"/>
    <n v="4.67"/>
  </r>
  <r>
    <d v="2025-04-10T00:00:00"/>
    <s v="April"/>
    <n v="15"/>
    <x v="1"/>
    <n v="1.39"/>
    <n v="0.05"/>
    <n v="2"/>
    <n v="7"/>
    <n v="0.76428571428571423"/>
    <n v="5.35"/>
    <n v="8.61"/>
    <n v="3.0379999999999998"/>
    <n v="0.38323782234957021"/>
    <x v="4"/>
    <n v="2.5499999999999998"/>
  </r>
  <r>
    <d v="2025-04-11T00:00:00"/>
    <s v="April"/>
    <n v="15"/>
    <x v="2"/>
    <n v="0.57999999999999996"/>
    <n v="0.89"/>
    <n v="6"/>
    <n v="7"/>
    <n v="0.91714285714285704"/>
    <n v="6.419999999999999"/>
    <n v="4.45"/>
    <n v="4.206999999999999"/>
    <n v="0.59061637534498612"/>
    <x v="0"/>
    <n v="5.0199999999999996"/>
  </r>
  <r>
    <d v="2025-04-11T00:00:00"/>
    <s v="April"/>
    <n v="15"/>
    <x v="2"/>
    <n v="0.57999999999999996"/>
    <n v="0.89"/>
    <n v="6"/>
    <n v="7"/>
    <n v="0.91714285714285704"/>
    <n v="6.419999999999999"/>
    <n v="4.45"/>
    <n v="4.206999999999999"/>
    <n v="0.59061637534498612"/>
    <x v="1"/>
    <n v="8.2799999999999994"/>
  </r>
  <r>
    <d v="2025-04-11T00:00:00"/>
    <s v="April"/>
    <n v="15"/>
    <x v="2"/>
    <n v="0.57999999999999996"/>
    <n v="0.89"/>
    <n v="6"/>
    <n v="7"/>
    <n v="0.91714285714285704"/>
    <n v="6.419999999999999"/>
    <n v="4.45"/>
    <n v="4.206999999999999"/>
    <n v="0.59061637534498612"/>
    <x v="2"/>
    <n v="0.51"/>
  </r>
  <r>
    <d v="2025-04-11T00:00:00"/>
    <s v="April"/>
    <n v="15"/>
    <x v="2"/>
    <n v="0.57999999999999996"/>
    <n v="0.89"/>
    <n v="6"/>
    <n v="7"/>
    <n v="0.91714285714285704"/>
    <n v="6.419999999999999"/>
    <n v="4.45"/>
    <n v="4.206999999999999"/>
    <n v="0.59061637534498612"/>
    <x v="3"/>
    <n v="2.5299999999999998"/>
  </r>
  <r>
    <d v="2025-04-11T00:00:00"/>
    <s v="April"/>
    <n v="15"/>
    <x v="2"/>
    <n v="0.57999999999999996"/>
    <n v="0.89"/>
    <n v="6"/>
    <n v="7"/>
    <n v="0.91714285714285704"/>
    <n v="6.419999999999999"/>
    <n v="4.45"/>
    <n v="4.206999999999999"/>
    <n v="0.59061637534498612"/>
    <x v="4"/>
    <n v="1.34"/>
  </r>
  <r>
    <d v="2025-04-12T00:00:00"/>
    <s v="April"/>
    <n v="15"/>
    <x v="3"/>
    <n v="0.06"/>
    <n v="1.88"/>
    <n v="4"/>
    <n v="5"/>
    <n v="1"/>
    <n v="7.01"/>
    <n v="4.62"/>
    <n v="3.5920000000000001"/>
    <n v="0.60275150472914873"/>
    <x v="0"/>
    <n v="3.92"/>
  </r>
  <r>
    <d v="2025-04-12T00:00:00"/>
    <s v="April"/>
    <n v="15"/>
    <x v="3"/>
    <n v="0.06"/>
    <n v="1.88"/>
    <n v="4"/>
    <n v="5"/>
    <n v="1"/>
    <n v="7.01"/>
    <n v="4.62"/>
    <n v="3.5920000000000001"/>
    <n v="0.60275150472914873"/>
    <x v="1"/>
    <n v="7.46"/>
  </r>
  <r>
    <d v="2025-04-12T00:00:00"/>
    <s v="April"/>
    <n v="15"/>
    <x v="3"/>
    <n v="0.06"/>
    <n v="1.88"/>
    <n v="4"/>
    <n v="5"/>
    <n v="1"/>
    <n v="7.01"/>
    <n v="4.62"/>
    <n v="3.5920000000000001"/>
    <n v="0.60275150472914873"/>
    <x v="2"/>
    <n v="1.21"/>
  </r>
  <r>
    <d v="2025-04-12T00:00:00"/>
    <s v="April"/>
    <n v="15"/>
    <x v="3"/>
    <n v="0.06"/>
    <n v="1.88"/>
    <n v="4"/>
    <n v="5"/>
    <n v="1"/>
    <n v="7.01"/>
    <n v="4.62"/>
    <n v="3.5920000000000001"/>
    <n v="0.60275150472914873"/>
    <x v="3"/>
    <n v="3.16"/>
  </r>
  <r>
    <d v="2025-04-12T00:00:00"/>
    <s v="April"/>
    <n v="15"/>
    <x v="3"/>
    <n v="0.06"/>
    <n v="1.88"/>
    <n v="4"/>
    <n v="5"/>
    <n v="1"/>
    <n v="7.01"/>
    <n v="4.62"/>
    <n v="3.5920000000000001"/>
    <n v="0.60275150472914873"/>
    <x v="4"/>
    <n v="1.4"/>
  </r>
  <r>
    <d v="2025-04-13T00:00:00"/>
    <s v="April"/>
    <n v="15"/>
    <x v="4"/>
    <n v="0.09"/>
    <n v="0.11"/>
    <n v="8"/>
    <n v="5"/>
    <n v="1"/>
    <n v="6.31"/>
    <n v="2.98"/>
    <n v="4.4720000000000004"/>
    <n v="0.67922497308934338"/>
    <x v="0"/>
    <n v="5.77"/>
  </r>
  <r>
    <d v="2025-04-13T00:00:00"/>
    <s v="April"/>
    <n v="15"/>
    <x v="4"/>
    <n v="0.09"/>
    <n v="0.11"/>
    <n v="8"/>
    <n v="5"/>
    <n v="1"/>
    <n v="6.31"/>
    <n v="2.98"/>
    <n v="4.4720000000000004"/>
    <n v="0.67922497308934338"/>
    <x v="1"/>
    <n v="7.89"/>
  </r>
  <r>
    <d v="2025-04-13T00:00:00"/>
    <s v="April"/>
    <n v="15"/>
    <x v="4"/>
    <n v="0.09"/>
    <n v="0.11"/>
    <n v="8"/>
    <n v="5"/>
    <n v="1"/>
    <n v="6.31"/>
    <n v="2.98"/>
    <n v="4.4720000000000004"/>
    <n v="0.67922497308934338"/>
    <x v="2"/>
    <n v="0.43"/>
  </r>
  <r>
    <d v="2025-04-13T00:00:00"/>
    <s v="April"/>
    <n v="15"/>
    <x v="4"/>
    <n v="0.09"/>
    <n v="0.11"/>
    <n v="8"/>
    <n v="5"/>
    <n v="1"/>
    <n v="6.31"/>
    <n v="2.98"/>
    <n v="4.4720000000000004"/>
    <n v="0.67922497308934338"/>
    <x v="3"/>
    <n v="2"/>
  </r>
  <r>
    <d v="2025-04-13T00:00:00"/>
    <s v="April"/>
    <n v="15"/>
    <x v="4"/>
    <n v="0.09"/>
    <n v="0.11"/>
    <n v="8"/>
    <n v="5"/>
    <n v="1"/>
    <n v="6.31"/>
    <n v="2.98"/>
    <n v="4.4720000000000004"/>
    <n v="0.67922497308934338"/>
    <x v="4"/>
    <n v="0.89"/>
  </r>
  <r>
    <d v="2025-04-14T00:00:00"/>
    <s v="April"/>
    <n v="16"/>
    <x v="5"/>
    <n v="1.68"/>
    <n v="1.02"/>
    <n v="9"/>
    <n v="7"/>
    <n v="1"/>
    <n v="7.94"/>
    <n v="2.83"/>
    <n v="4.4809999999999999"/>
    <n v="0.73723305478180134"/>
    <x v="0"/>
    <n v="5.38"/>
  </r>
  <r>
    <d v="2025-04-14T00:00:00"/>
    <s v="April"/>
    <n v="16"/>
    <x v="5"/>
    <n v="1.68"/>
    <n v="1.02"/>
    <n v="9"/>
    <n v="7"/>
    <n v="1"/>
    <n v="7.94"/>
    <n v="2.83"/>
    <n v="4.4809999999999999"/>
    <n v="0.73723305478180134"/>
    <x v="1"/>
    <n v="7.12"/>
  </r>
  <r>
    <d v="2025-04-14T00:00:00"/>
    <s v="April"/>
    <n v="16"/>
    <x v="5"/>
    <n v="1.68"/>
    <n v="1.02"/>
    <n v="9"/>
    <n v="7"/>
    <n v="1"/>
    <n v="7.94"/>
    <n v="2.83"/>
    <n v="4.4809999999999999"/>
    <n v="0.73723305478180134"/>
    <x v="2"/>
    <n v="1.54"/>
  </r>
  <r>
    <d v="2025-04-14T00:00:00"/>
    <s v="April"/>
    <n v="16"/>
    <x v="5"/>
    <n v="1.68"/>
    <n v="1.02"/>
    <n v="9"/>
    <n v="7"/>
    <n v="1"/>
    <n v="7.94"/>
    <n v="2.83"/>
    <n v="4.4809999999999999"/>
    <n v="0.73723305478180134"/>
    <x v="3"/>
    <n v="1.1399999999999999"/>
  </r>
  <r>
    <d v="2025-04-14T00:00:00"/>
    <s v="April"/>
    <n v="16"/>
    <x v="5"/>
    <n v="1.68"/>
    <n v="1.02"/>
    <n v="9"/>
    <n v="7"/>
    <n v="1"/>
    <n v="7.94"/>
    <n v="2.83"/>
    <n v="4.4809999999999999"/>
    <n v="0.73723305478180134"/>
    <x v="4"/>
    <n v="0.01"/>
  </r>
  <r>
    <d v="2025-04-15T00:00:00"/>
    <s v="April"/>
    <n v="16"/>
    <x v="6"/>
    <n v="1.56"/>
    <n v="0.15"/>
    <n v="7"/>
    <n v="7"/>
    <n v="0.6757142857142856"/>
    <n v="4.7299999999999995"/>
    <n v="7.51"/>
    <n v="2.4960000000000004"/>
    <n v="0.38643790849673204"/>
    <x v="0"/>
    <n v="3.15"/>
  </r>
  <r>
    <d v="2025-04-15T00:00:00"/>
    <s v="April"/>
    <n v="16"/>
    <x v="6"/>
    <n v="1.56"/>
    <n v="0.15"/>
    <n v="7"/>
    <n v="7"/>
    <n v="0.6757142857142856"/>
    <n v="4.7299999999999995"/>
    <n v="7.51"/>
    <n v="2.4960000000000004"/>
    <n v="0.38643790849673204"/>
    <x v="1"/>
    <n v="5.15"/>
  </r>
  <r>
    <d v="2025-04-15T00:00:00"/>
    <s v="April"/>
    <n v="16"/>
    <x v="6"/>
    <n v="1.56"/>
    <n v="0.15"/>
    <n v="7"/>
    <n v="7"/>
    <n v="0.6757142857142856"/>
    <n v="4.7299999999999995"/>
    <n v="7.51"/>
    <n v="2.4960000000000004"/>
    <n v="0.38643790849673204"/>
    <x v="2"/>
    <n v="1.43"/>
  </r>
  <r>
    <d v="2025-04-15T00:00:00"/>
    <s v="April"/>
    <n v="16"/>
    <x v="6"/>
    <n v="1.56"/>
    <n v="0.15"/>
    <n v="7"/>
    <n v="7"/>
    <n v="0.6757142857142856"/>
    <n v="4.7299999999999995"/>
    <n v="7.51"/>
    <n v="2.4960000000000004"/>
    <n v="0.38643790849673204"/>
    <x v="3"/>
    <n v="3.82"/>
  </r>
  <r>
    <d v="2025-04-15T00:00:00"/>
    <s v="April"/>
    <n v="16"/>
    <x v="6"/>
    <n v="1.56"/>
    <n v="0.15"/>
    <n v="7"/>
    <n v="7"/>
    <n v="0.6757142857142856"/>
    <n v="4.7299999999999995"/>
    <n v="7.51"/>
    <n v="2.4960000000000004"/>
    <n v="0.38643790849673204"/>
    <x v="4"/>
    <n v="2.13"/>
  </r>
  <r>
    <d v="2025-04-16T00:00:00"/>
    <s v="April"/>
    <n v="16"/>
    <x v="0"/>
    <n v="1.85"/>
    <n v="0.22"/>
    <n v="2"/>
    <n v="7"/>
    <n v="0.29428571428571432"/>
    <n v="2.06"/>
    <n v="6.1899999999999995"/>
    <n v="2.3569999999999998"/>
    <n v="0.2496969696969697"/>
    <x v="0"/>
    <n v="1.18"/>
  </r>
  <r>
    <d v="2025-04-16T00:00:00"/>
    <s v="April"/>
    <n v="16"/>
    <x v="0"/>
    <n v="1.85"/>
    <n v="0.22"/>
    <n v="2"/>
    <n v="7"/>
    <n v="0.29428571428571432"/>
    <n v="2.06"/>
    <n v="6.1899999999999995"/>
    <n v="2.3569999999999998"/>
    <n v="0.2496969696969697"/>
    <x v="1"/>
    <n v="7.29"/>
  </r>
  <r>
    <d v="2025-04-16T00:00:00"/>
    <s v="April"/>
    <n v="16"/>
    <x v="0"/>
    <n v="1.85"/>
    <n v="0.22"/>
    <n v="2"/>
    <n v="7"/>
    <n v="0.29428571428571432"/>
    <n v="2.06"/>
    <n v="6.1899999999999995"/>
    <n v="2.3569999999999998"/>
    <n v="0.2496969696969697"/>
    <x v="2"/>
    <n v="0.66"/>
  </r>
  <r>
    <d v="2025-04-16T00:00:00"/>
    <s v="April"/>
    <n v="16"/>
    <x v="0"/>
    <n v="1.85"/>
    <n v="0.22"/>
    <n v="2"/>
    <n v="7"/>
    <n v="0.29428571428571432"/>
    <n v="2.06"/>
    <n v="6.1899999999999995"/>
    <n v="2.3569999999999998"/>
    <n v="0.2496969696969697"/>
    <x v="3"/>
    <n v="4.04"/>
  </r>
  <r>
    <d v="2025-04-16T00:00:00"/>
    <s v="April"/>
    <n v="16"/>
    <x v="0"/>
    <n v="1.85"/>
    <n v="0.22"/>
    <n v="2"/>
    <n v="7"/>
    <n v="0.29428571428571432"/>
    <n v="2.06"/>
    <n v="6.1899999999999995"/>
    <n v="2.3569999999999998"/>
    <n v="0.2496969696969697"/>
    <x v="4"/>
    <n v="0.3"/>
  </r>
  <r>
    <d v="2025-04-17T00:00:00"/>
    <s v="April"/>
    <n v="16"/>
    <x v="1"/>
    <n v="1.41"/>
    <n v="0.01"/>
    <n v="2"/>
    <n v="7"/>
    <n v="0.71142857142857141"/>
    <n v="4.9799999999999995"/>
    <n v="6.26"/>
    <n v="3.7129999999999996"/>
    <n v="0.44306049822064059"/>
    <x v="0"/>
    <n v="4.08"/>
  </r>
  <r>
    <d v="2025-04-17T00:00:00"/>
    <s v="April"/>
    <n v="16"/>
    <x v="1"/>
    <n v="1.41"/>
    <n v="0.01"/>
    <n v="2"/>
    <n v="7"/>
    <n v="0.71142857142857141"/>
    <n v="4.9799999999999995"/>
    <n v="6.26"/>
    <n v="3.7129999999999996"/>
    <n v="0.44306049822064059"/>
    <x v="1"/>
    <n v="7.96"/>
  </r>
  <r>
    <d v="2025-04-17T00:00:00"/>
    <s v="April"/>
    <n v="16"/>
    <x v="1"/>
    <n v="1.41"/>
    <n v="0.01"/>
    <n v="2"/>
    <n v="7"/>
    <n v="0.71142857142857141"/>
    <n v="4.9799999999999995"/>
    <n v="6.26"/>
    <n v="3.7129999999999996"/>
    <n v="0.44306049822064059"/>
    <x v="2"/>
    <n v="0.89"/>
  </r>
  <r>
    <d v="2025-04-17T00:00:00"/>
    <s v="April"/>
    <n v="16"/>
    <x v="1"/>
    <n v="1.41"/>
    <n v="0.01"/>
    <n v="2"/>
    <n v="7"/>
    <n v="0.71142857142857141"/>
    <n v="4.9799999999999995"/>
    <n v="6.26"/>
    <n v="3.7129999999999996"/>
    <n v="0.44306049822064059"/>
    <x v="3"/>
    <n v="3.6"/>
  </r>
  <r>
    <d v="2025-04-17T00:00:00"/>
    <s v="April"/>
    <n v="16"/>
    <x v="1"/>
    <n v="1.41"/>
    <n v="0.01"/>
    <n v="2"/>
    <n v="7"/>
    <n v="0.71142857142857141"/>
    <n v="4.9799999999999995"/>
    <n v="6.26"/>
    <n v="3.7129999999999996"/>
    <n v="0.44306049822064059"/>
    <x v="4"/>
    <n v="1.25"/>
  </r>
  <r>
    <d v="2025-04-18T00:00:00"/>
    <s v="April"/>
    <n v="16"/>
    <x v="2"/>
    <n v="1.39"/>
    <n v="1.04"/>
    <n v="9"/>
    <n v="7"/>
    <n v="0.89142857142857146"/>
    <n v="6.24"/>
    <n v="6.44"/>
    <n v="4.008"/>
    <n v="0.49211356466876977"/>
    <x v="0"/>
    <n v="4.72"/>
  </r>
  <r>
    <d v="2025-04-18T00:00:00"/>
    <s v="April"/>
    <n v="16"/>
    <x v="2"/>
    <n v="1.39"/>
    <n v="1.04"/>
    <n v="9"/>
    <n v="7"/>
    <n v="0.89142857142857146"/>
    <n v="6.24"/>
    <n v="6.44"/>
    <n v="4.008"/>
    <n v="0.49211356466876977"/>
    <x v="1"/>
    <n v="8.43"/>
  </r>
  <r>
    <d v="2025-04-18T00:00:00"/>
    <s v="April"/>
    <n v="16"/>
    <x v="2"/>
    <n v="1.39"/>
    <n v="1.04"/>
    <n v="9"/>
    <n v="7"/>
    <n v="0.89142857142857146"/>
    <n v="6.24"/>
    <n v="6.44"/>
    <n v="4.008"/>
    <n v="0.49211356466876977"/>
    <x v="2"/>
    <n v="0.48"/>
  </r>
  <r>
    <d v="2025-04-18T00:00:00"/>
    <s v="April"/>
    <n v="16"/>
    <x v="2"/>
    <n v="1.39"/>
    <n v="1.04"/>
    <n v="9"/>
    <n v="7"/>
    <n v="0.89142857142857146"/>
    <n v="6.24"/>
    <n v="6.44"/>
    <n v="4.008"/>
    <n v="0.49211356466876977"/>
    <x v="3"/>
    <n v="2.06"/>
  </r>
  <r>
    <d v="2025-04-18T00:00:00"/>
    <s v="April"/>
    <n v="16"/>
    <x v="2"/>
    <n v="1.39"/>
    <n v="1.04"/>
    <n v="9"/>
    <n v="7"/>
    <n v="0.89142857142857146"/>
    <n v="6.24"/>
    <n v="6.44"/>
    <n v="4.008"/>
    <n v="0.49211356466876977"/>
    <x v="4"/>
    <n v="2.99"/>
  </r>
  <r>
    <d v="2025-04-19T00:00:00"/>
    <s v="April"/>
    <n v="16"/>
    <x v="3"/>
    <n v="1.27"/>
    <n v="0.3"/>
    <n v="5"/>
    <n v="5"/>
    <n v="0.87999999999999989"/>
    <n v="4.3999999999999995"/>
    <n v="6.91"/>
    <n v="3.2559999999999998"/>
    <n v="0.38903625110521661"/>
    <x v="0"/>
    <n v="3.03"/>
  </r>
  <r>
    <d v="2025-04-19T00:00:00"/>
    <s v="April"/>
    <n v="16"/>
    <x v="3"/>
    <n v="1.27"/>
    <n v="0.3"/>
    <n v="5"/>
    <n v="5"/>
    <n v="0.87999999999999989"/>
    <n v="4.3999999999999995"/>
    <n v="6.91"/>
    <n v="3.2559999999999998"/>
    <n v="0.38903625110521661"/>
    <x v="1"/>
    <n v="7.98"/>
  </r>
  <r>
    <d v="2025-04-19T00:00:00"/>
    <s v="April"/>
    <n v="16"/>
    <x v="3"/>
    <n v="1.27"/>
    <n v="0.3"/>
    <n v="5"/>
    <n v="5"/>
    <n v="0.87999999999999989"/>
    <n v="4.3999999999999995"/>
    <n v="6.91"/>
    <n v="3.2559999999999998"/>
    <n v="0.38903625110521661"/>
    <x v="2"/>
    <n v="1.07"/>
  </r>
  <r>
    <d v="2025-04-19T00:00:00"/>
    <s v="April"/>
    <n v="16"/>
    <x v="3"/>
    <n v="1.27"/>
    <n v="0.3"/>
    <n v="5"/>
    <n v="5"/>
    <n v="0.87999999999999989"/>
    <n v="4.3999999999999995"/>
    <n v="6.91"/>
    <n v="3.2559999999999998"/>
    <n v="0.38903625110521661"/>
    <x v="3"/>
    <n v="4.83"/>
  </r>
  <r>
    <d v="2025-04-19T00:00:00"/>
    <s v="April"/>
    <n v="16"/>
    <x v="3"/>
    <n v="1.27"/>
    <n v="0.3"/>
    <n v="5"/>
    <n v="5"/>
    <n v="0.87999999999999989"/>
    <n v="4.3999999999999995"/>
    <n v="6.91"/>
    <n v="3.2559999999999998"/>
    <n v="0.38903625110521661"/>
    <x v="4"/>
    <n v="0.81"/>
  </r>
  <r>
    <d v="2025-04-20T00:00:00"/>
    <s v="April"/>
    <n v="16"/>
    <x v="4"/>
    <n v="0.85"/>
    <n v="0.6"/>
    <n v="7"/>
    <n v="5"/>
    <n v="0.92400000000000004"/>
    <n v="4.62"/>
    <n v="5.64"/>
    <n v="3.4089999999999994"/>
    <n v="0.45029239766081874"/>
    <x v="0"/>
    <n v="3.03"/>
  </r>
  <r>
    <d v="2025-04-20T00:00:00"/>
    <s v="April"/>
    <n v="16"/>
    <x v="4"/>
    <n v="0.85"/>
    <n v="0.6"/>
    <n v="7"/>
    <n v="5"/>
    <n v="0.92400000000000004"/>
    <n v="4.62"/>
    <n v="5.64"/>
    <n v="3.4089999999999994"/>
    <n v="0.45029239766081874"/>
    <x v="1"/>
    <n v="8.26"/>
  </r>
  <r>
    <d v="2025-04-20T00:00:00"/>
    <s v="April"/>
    <n v="16"/>
    <x v="4"/>
    <n v="0.85"/>
    <n v="0.6"/>
    <n v="7"/>
    <n v="5"/>
    <n v="0.92400000000000004"/>
    <n v="4.62"/>
    <n v="5.64"/>
    <n v="3.4089999999999994"/>
    <n v="0.45029239766081874"/>
    <x v="2"/>
    <n v="0.99"/>
  </r>
  <r>
    <d v="2025-04-20T00:00:00"/>
    <s v="April"/>
    <n v="16"/>
    <x v="4"/>
    <n v="0.85"/>
    <n v="0.6"/>
    <n v="7"/>
    <n v="5"/>
    <n v="0.92400000000000004"/>
    <n v="4.62"/>
    <n v="5.64"/>
    <n v="3.4089999999999994"/>
    <n v="0.45029239766081874"/>
    <x v="3"/>
    <n v="4.37"/>
  </r>
  <r>
    <d v="2025-04-20T00:00:00"/>
    <s v="April"/>
    <n v="16"/>
    <x v="4"/>
    <n v="0.85"/>
    <n v="0.6"/>
    <n v="7"/>
    <n v="5"/>
    <n v="0.92400000000000004"/>
    <n v="4.62"/>
    <n v="5.64"/>
    <n v="3.4089999999999994"/>
    <n v="0.45029239766081874"/>
    <x v="4"/>
    <n v="0.42"/>
  </r>
  <r>
    <d v="2025-04-21T00:00:00"/>
    <s v="April"/>
    <n v="17"/>
    <x v="5"/>
    <n v="2"/>
    <n v="0.23"/>
    <n v="7"/>
    <n v="7"/>
    <n v="0.36571428571428571"/>
    <n v="2.56"/>
    <n v="6.9700000000000006"/>
    <n v="2.9169999999999998"/>
    <n v="0.2686253934942287"/>
    <x v="0"/>
    <n v="1.36"/>
  </r>
  <r>
    <d v="2025-04-21T00:00:00"/>
    <s v="April"/>
    <n v="17"/>
    <x v="5"/>
    <n v="2"/>
    <n v="0.23"/>
    <n v="7"/>
    <n v="7"/>
    <n v="0.36571428571428571"/>
    <n v="2.56"/>
    <n v="6.9700000000000006"/>
    <n v="2.9169999999999998"/>
    <n v="0.2686253934942287"/>
    <x v="1"/>
    <n v="8.92"/>
  </r>
  <r>
    <d v="2025-04-21T00:00:00"/>
    <s v="April"/>
    <n v="17"/>
    <x v="5"/>
    <n v="2"/>
    <n v="0.23"/>
    <n v="7"/>
    <n v="7"/>
    <n v="0.36571428571428571"/>
    <n v="2.56"/>
    <n v="6.9700000000000006"/>
    <n v="2.9169999999999998"/>
    <n v="0.2686253934942287"/>
    <x v="2"/>
    <n v="0.97"/>
  </r>
  <r>
    <d v="2025-04-21T00:00:00"/>
    <s v="April"/>
    <n v="17"/>
    <x v="5"/>
    <n v="2"/>
    <n v="0.23"/>
    <n v="7"/>
    <n v="7"/>
    <n v="0.36571428571428571"/>
    <n v="2.56"/>
    <n v="6.9700000000000006"/>
    <n v="2.9169999999999998"/>
    <n v="0.2686253934942287"/>
    <x v="3"/>
    <n v="4.6900000000000004"/>
  </r>
  <r>
    <d v="2025-04-21T00:00:00"/>
    <s v="April"/>
    <n v="17"/>
    <x v="5"/>
    <n v="2"/>
    <n v="0.23"/>
    <n v="7"/>
    <n v="7"/>
    <n v="0.36571428571428571"/>
    <n v="2.56"/>
    <n v="6.9700000000000006"/>
    <n v="2.9169999999999998"/>
    <n v="0.2686253934942287"/>
    <x v="4"/>
    <n v="0.28000000000000003"/>
  </r>
  <r>
    <d v="2025-04-22T00:00:00"/>
    <s v="April"/>
    <n v="17"/>
    <x v="6"/>
    <n v="1.3"/>
    <n v="1.38"/>
    <n v="8"/>
    <n v="7"/>
    <n v="0.70857142857142852"/>
    <n v="4.96"/>
    <n v="7.5799999999999992"/>
    <n v="2.7309999999999994"/>
    <n v="0.3955342902711324"/>
    <x v="0"/>
    <n v="2.76"/>
  </r>
  <r>
    <d v="2025-04-22T00:00:00"/>
    <s v="April"/>
    <n v="17"/>
    <x v="6"/>
    <n v="1.3"/>
    <n v="1.38"/>
    <n v="8"/>
    <n v="7"/>
    <n v="0.70857142857142852"/>
    <n v="4.96"/>
    <n v="7.5799999999999992"/>
    <n v="2.7309999999999994"/>
    <n v="0.3955342902711324"/>
    <x v="1"/>
    <n v="6.97"/>
  </r>
  <r>
    <d v="2025-04-22T00:00:00"/>
    <s v="April"/>
    <n v="17"/>
    <x v="6"/>
    <n v="1.3"/>
    <n v="1.38"/>
    <n v="8"/>
    <n v="7"/>
    <n v="0.70857142857142852"/>
    <n v="4.96"/>
    <n v="7.5799999999999992"/>
    <n v="2.7309999999999994"/>
    <n v="0.3955342902711324"/>
    <x v="2"/>
    <n v="0.82"/>
  </r>
  <r>
    <d v="2025-04-22T00:00:00"/>
    <s v="April"/>
    <n v="17"/>
    <x v="6"/>
    <n v="1.3"/>
    <n v="1.38"/>
    <n v="8"/>
    <n v="7"/>
    <n v="0.70857142857142852"/>
    <n v="4.96"/>
    <n v="7.5799999999999992"/>
    <n v="2.7309999999999994"/>
    <n v="0.3955342902711324"/>
    <x v="3"/>
    <n v="4.63"/>
  </r>
  <r>
    <d v="2025-04-22T00:00:00"/>
    <s v="April"/>
    <n v="17"/>
    <x v="6"/>
    <n v="1.3"/>
    <n v="1.38"/>
    <n v="8"/>
    <n v="7"/>
    <n v="0.70857142857142852"/>
    <n v="4.96"/>
    <n v="7.5799999999999992"/>
    <n v="2.7309999999999994"/>
    <n v="0.3955342902711324"/>
    <x v="4"/>
    <n v="1.65"/>
  </r>
  <r>
    <d v="2025-04-23T00:00:00"/>
    <s v="April"/>
    <n v="17"/>
    <x v="0"/>
    <n v="1.1000000000000001"/>
    <n v="1.93"/>
    <n v="8"/>
    <n v="7"/>
    <n v="1"/>
    <n v="7.8599999999999994"/>
    <n v="4.95"/>
    <n v="3.7519999999999998"/>
    <n v="0.61358313817330212"/>
    <x v="0"/>
    <n v="4.51"/>
  </r>
  <r>
    <d v="2025-04-23T00:00:00"/>
    <s v="April"/>
    <n v="17"/>
    <x v="0"/>
    <n v="1.1000000000000001"/>
    <n v="1.93"/>
    <n v="8"/>
    <n v="7"/>
    <n v="1"/>
    <n v="7.8599999999999994"/>
    <n v="4.95"/>
    <n v="3.7519999999999998"/>
    <n v="0.61358313817330212"/>
    <x v="1"/>
    <n v="6.83"/>
  </r>
  <r>
    <d v="2025-04-23T00:00:00"/>
    <s v="April"/>
    <n v="17"/>
    <x v="0"/>
    <n v="1.1000000000000001"/>
    <n v="1.93"/>
    <n v="8"/>
    <n v="7"/>
    <n v="1"/>
    <n v="7.8599999999999994"/>
    <n v="4.95"/>
    <n v="3.7519999999999998"/>
    <n v="0.61358313817330212"/>
    <x v="2"/>
    <n v="1.42"/>
  </r>
  <r>
    <d v="2025-04-23T00:00:00"/>
    <s v="April"/>
    <n v="17"/>
    <x v="0"/>
    <n v="1.1000000000000001"/>
    <n v="1.93"/>
    <n v="8"/>
    <n v="7"/>
    <n v="1"/>
    <n v="7.8599999999999994"/>
    <n v="4.95"/>
    <n v="3.7519999999999998"/>
    <n v="0.61358313817330212"/>
    <x v="3"/>
    <n v="2.72"/>
  </r>
  <r>
    <d v="2025-04-23T00:00:00"/>
    <s v="April"/>
    <n v="17"/>
    <x v="0"/>
    <n v="1.1000000000000001"/>
    <n v="1.93"/>
    <n v="8"/>
    <n v="7"/>
    <n v="1"/>
    <n v="7.8599999999999994"/>
    <n v="4.95"/>
    <n v="3.7519999999999998"/>
    <n v="0.61358313817330212"/>
    <x v="4"/>
    <n v="1.1299999999999999"/>
  </r>
  <r>
    <d v="2025-04-24T00:00:00"/>
    <s v="April"/>
    <n v="17"/>
    <x v="1"/>
    <n v="1.41"/>
    <n v="1.9"/>
    <n v="1"/>
    <n v="7"/>
    <n v="0.76428571428571423"/>
    <n v="5.35"/>
    <n v="7.9399999999999995"/>
    <n v="3.1380000000000003"/>
    <n v="0.40255831452219715"/>
    <x v="0"/>
    <n v="2.5299999999999998"/>
  </r>
  <r>
    <d v="2025-04-24T00:00:00"/>
    <s v="April"/>
    <n v="17"/>
    <x v="1"/>
    <n v="1.41"/>
    <n v="1.9"/>
    <n v="1"/>
    <n v="7"/>
    <n v="0.76428571428571423"/>
    <n v="5.35"/>
    <n v="7.9399999999999995"/>
    <n v="3.1380000000000003"/>
    <n v="0.40255831452219715"/>
    <x v="1"/>
    <n v="8.65"/>
  </r>
  <r>
    <d v="2025-04-24T00:00:00"/>
    <s v="April"/>
    <n v="17"/>
    <x v="1"/>
    <n v="1.41"/>
    <n v="1.9"/>
    <n v="1"/>
    <n v="7"/>
    <n v="0.76428571428571423"/>
    <n v="5.35"/>
    <n v="7.9399999999999995"/>
    <n v="3.1380000000000003"/>
    <n v="0.40255831452219715"/>
    <x v="2"/>
    <n v="0.92"/>
  </r>
  <r>
    <d v="2025-04-24T00:00:00"/>
    <s v="April"/>
    <n v="17"/>
    <x v="1"/>
    <n v="1.41"/>
    <n v="1.9"/>
    <n v="1"/>
    <n v="7"/>
    <n v="0.76428571428571423"/>
    <n v="5.35"/>
    <n v="7.9399999999999995"/>
    <n v="3.1380000000000003"/>
    <n v="0.40255831452219715"/>
    <x v="3"/>
    <n v="4.5999999999999996"/>
  </r>
  <r>
    <d v="2025-04-24T00:00:00"/>
    <s v="April"/>
    <n v="17"/>
    <x v="1"/>
    <n v="1.41"/>
    <n v="1.9"/>
    <n v="1"/>
    <n v="7"/>
    <n v="0.76428571428571423"/>
    <n v="5.35"/>
    <n v="7.9399999999999995"/>
    <n v="3.1380000000000003"/>
    <n v="0.40255831452219715"/>
    <x v="4"/>
    <n v="1.93"/>
  </r>
  <r>
    <d v="2025-04-25T00:00:00"/>
    <s v="April"/>
    <n v="17"/>
    <x v="2"/>
    <n v="0.21"/>
    <n v="0.06"/>
    <n v="5"/>
    <n v="7"/>
    <n v="0.61"/>
    <n v="4.2699999999999996"/>
    <n v="5.3"/>
    <n v="2.8520000000000003"/>
    <n v="0.4461859979101358"/>
    <x v="0"/>
    <n v="3.46"/>
  </r>
  <r>
    <d v="2025-04-25T00:00:00"/>
    <s v="April"/>
    <n v="17"/>
    <x v="2"/>
    <n v="0.21"/>
    <n v="0.06"/>
    <n v="5"/>
    <n v="7"/>
    <n v="0.61"/>
    <n v="4.2699999999999996"/>
    <n v="5.3"/>
    <n v="2.8520000000000003"/>
    <n v="0.4461859979101358"/>
    <x v="1"/>
    <n v="6.09"/>
  </r>
  <r>
    <d v="2025-04-25T00:00:00"/>
    <s v="April"/>
    <n v="17"/>
    <x v="2"/>
    <n v="0.21"/>
    <n v="0.06"/>
    <n v="5"/>
    <n v="7"/>
    <n v="0.61"/>
    <n v="4.2699999999999996"/>
    <n v="5.3"/>
    <n v="2.8520000000000003"/>
    <n v="0.4461859979101358"/>
    <x v="2"/>
    <n v="0.75"/>
  </r>
  <r>
    <d v="2025-04-25T00:00:00"/>
    <s v="April"/>
    <n v="17"/>
    <x v="2"/>
    <n v="0.21"/>
    <n v="0.06"/>
    <n v="5"/>
    <n v="7"/>
    <n v="0.61"/>
    <n v="4.2699999999999996"/>
    <n v="5.3"/>
    <n v="2.8520000000000003"/>
    <n v="0.4461859979101358"/>
    <x v="3"/>
    <n v="3.26"/>
  </r>
  <r>
    <d v="2025-04-25T00:00:00"/>
    <s v="April"/>
    <n v="17"/>
    <x v="2"/>
    <n v="0.21"/>
    <n v="0.06"/>
    <n v="5"/>
    <n v="7"/>
    <n v="0.61"/>
    <n v="4.2699999999999996"/>
    <n v="5.3"/>
    <n v="2.8520000000000003"/>
    <n v="0.4461859979101358"/>
    <x v="4"/>
    <n v="1.83"/>
  </r>
  <r>
    <d v="2025-04-26T00:00:00"/>
    <s v="April"/>
    <n v="17"/>
    <x v="3"/>
    <n v="0.38"/>
    <n v="0.78"/>
    <n v="5"/>
    <n v="5"/>
    <n v="1"/>
    <n v="5.45"/>
    <n v="2.5999999999999996"/>
    <n v="3.35"/>
    <n v="0.67701863354037262"/>
    <x v="0"/>
    <n v="3.89"/>
  </r>
  <r>
    <d v="2025-04-26T00:00:00"/>
    <s v="April"/>
    <n v="17"/>
    <x v="3"/>
    <n v="0.38"/>
    <n v="0.78"/>
    <n v="5"/>
    <n v="5"/>
    <n v="1"/>
    <n v="5.45"/>
    <n v="2.5999999999999996"/>
    <n v="3.35"/>
    <n v="0.67701863354037262"/>
    <x v="1"/>
    <n v="6.2"/>
  </r>
  <r>
    <d v="2025-04-26T00:00:00"/>
    <s v="April"/>
    <n v="17"/>
    <x v="3"/>
    <n v="0.38"/>
    <n v="0.78"/>
    <n v="5"/>
    <n v="5"/>
    <n v="1"/>
    <n v="5.45"/>
    <n v="2.5999999999999996"/>
    <n v="3.35"/>
    <n v="0.67701863354037262"/>
    <x v="2"/>
    <n v="0.78"/>
  </r>
  <r>
    <d v="2025-04-26T00:00:00"/>
    <s v="April"/>
    <n v="17"/>
    <x v="3"/>
    <n v="0.38"/>
    <n v="0.78"/>
    <n v="5"/>
    <n v="5"/>
    <n v="1"/>
    <n v="5.45"/>
    <n v="2.5999999999999996"/>
    <n v="3.35"/>
    <n v="0.67701863354037262"/>
    <x v="3"/>
    <n v="1.05"/>
  </r>
  <r>
    <d v="2025-04-26T00:00:00"/>
    <s v="April"/>
    <n v="17"/>
    <x v="3"/>
    <n v="0.38"/>
    <n v="0.78"/>
    <n v="5"/>
    <n v="5"/>
    <n v="1"/>
    <n v="5.45"/>
    <n v="2.5999999999999996"/>
    <n v="3.35"/>
    <n v="0.67701863354037262"/>
    <x v="4"/>
    <n v="1.17"/>
  </r>
  <r>
    <d v="2025-04-27T00:00:00"/>
    <s v="April"/>
    <n v="17"/>
    <x v="4"/>
    <n v="1.93"/>
    <n v="1.92"/>
    <n v="2"/>
    <n v="5"/>
    <n v="1"/>
    <n v="7.55"/>
    <n v="6.14"/>
    <n v="3.4779999999999998"/>
    <n v="0.55149744338933526"/>
    <x v="0"/>
    <n v="4.76"/>
  </r>
  <r>
    <d v="2025-04-27T00:00:00"/>
    <s v="April"/>
    <n v="17"/>
    <x v="4"/>
    <n v="1.93"/>
    <n v="1.92"/>
    <n v="2"/>
    <n v="5"/>
    <n v="1"/>
    <n v="7.55"/>
    <n v="6.14"/>
    <n v="3.4779999999999998"/>
    <n v="0.55149744338933526"/>
    <x v="1"/>
    <n v="6.07"/>
  </r>
  <r>
    <d v="2025-04-27T00:00:00"/>
    <s v="April"/>
    <n v="17"/>
    <x v="4"/>
    <n v="1.93"/>
    <n v="1.92"/>
    <n v="2"/>
    <n v="5"/>
    <n v="1"/>
    <n v="7.55"/>
    <n v="6.14"/>
    <n v="3.4779999999999998"/>
    <n v="0.55149744338933526"/>
    <x v="2"/>
    <n v="0.87"/>
  </r>
  <r>
    <d v="2025-04-27T00:00:00"/>
    <s v="April"/>
    <n v="17"/>
    <x v="4"/>
    <n v="1.93"/>
    <n v="1.92"/>
    <n v="2"/>
    <n v="5"/>
    <n v="1"/>
    <n v="7.55"/>
    <n v="6.14"/>
    <n v="3.4779999999999998"/>
    <n v="0.55149744338933526"/>
    <x v="3"/>
    <n v="3.06"/>
  </r>
  <r>
    <d v="2025-04-27T00:00:00"/>
    <s v="April"/>
    <n v="17"/>
    <x v="4"/>
    <n v="1.93"/>
    <n v="1.92"/>
    <n v="2"/>
    <n v="5"/>
    <n v="1"/>
    <n v="7.55"/>
    <n v="6.14"/>
    <n v="3.4779999999999998"/>
    <n v="0.55149744338933526"/>
    <x v="4"/>
    <n v="1.1499999999999999"/>
  </r>
  <r>
    <d v="2025-04-28T00:00:00"/>
    <s v="April"/>
    <n v="18"/>
    <x v="5"/>
    <n v="1.1200000000000001"/>
    <n v="0.36"/>
    <n v="10"/>
    <n v="7"/>
    <n v="0.6785714285714286"/>
    <n v="4.75"/>
    <n v="8.870000000000001"/>
    <n v="2.472"/>
    <n v="0.3487518355359765"/>
    <x v="0"/>
    <n v="4.18"/>
  </r>
  <r>
    <d v="2025-04-28T00:00:00"/>
    <s v="April"/>
    <n v="18"/>
    <x v="5"/>
    <n v="1.1200000000000001"/>
    <n v="0.36"/>
    <n v="10"/>
    <n v="7"/>
    <n v="0.6785714285714286"/>
    <n v="4.75"/>
    <n v="8.870000000000001"/>
    <n v="2.472"/>
    <n v="0.3487518355359765"/>
    <x v="1"/>
    <n v="5.1100000000000003"/>
  </r>
  <r>
    <d v="2025-04-28T00:00:00"/>
    <s v="April"/>
    <n v="18"/>
    <x v="5"/>
    <n v="1.1200000000000001"/>
    <n v="0.36"/>
    <n v="10"/>
    <n v="7"/>
    <n v="0.6785714285714286"/>
    <n v="4.75"/>
    <n v="8.870000000000001"/>
    <n v="2.472"/>
    <n v="0.3487518355359765"/>
    <x v="2"/>
    <n v="0.21"/>
  </r>
  <r>
    <d v="2025-04-28T00:00:00"/>
    <s v="April"/>
    <n v="18"/>
    <x v="5"/>
    <n v="1.1200000000000001"/>
    <n v="0.36"/>
    <n v="10"/>
    <n v="7"/>
    <n v="0.6785714285714286"/>
    <n v="4.75"/>
    <n v="8.870000000000001"/>
    <n v="2.472"/>
    <n v="0.3487518355359765"/>
    <x v="3"/>
    <n v="4.8"/>
  </r>
  <r>
    <d v="2025-04-28T00:00:00"/>
    <s v="April"/>
    <n v="18"/>
    <x v="5"/>
    <n v="1.1200000000000001"/>
    <n v="0.36"/>
    <n v="10"/>
    <n v="7"/>
    <n v="0.6785714285714286"/>
    <n v="4.75"/>
    <n v="8.870000000000001"/>
    <n v="2.472"/>
    <n v="0.3487518355359765"/>
    <x v="4"/>
    <n v="2.95"/>
  </r>
  <r>
    <d v="2025-04-29T00:00:00"/>
    <s v="April"/>
    <n v="18"/>
    <x v="6"/>
    <n v="0.87"/>
    <n v="1.9"/>
    <n v="1"/>
    <n v="7"/>
    <n v="0.83142857142857152"/>
    <n v="5.82"/>
    <n v="8.2199999999999989"/>
    <n v="2.3860000000000001"/>
    <n v="0.41452991452991456"/>
    <x v="0"/>
    <n v="2.73"/>
  </r>
  <r>
    <d v="2025-04-29T00:00:00"/>
    <s v="April"/>
    <n v="18"/>
    <x v="6"/>
    <n v="0.87"/>
    <n v="1.9"/>
    <n v="1"/>
    <n v="7"/>
    <n v="0.83142857142857152"/>
    <n v="5.82"/>
    <n v="8.2199999999999989"/>
    <n v="2.3860000000000001"/>
    <n v="0.41452991452991456"/>
    <x v="1"/>
    <n v="5.97"/>
  </r>
  <r>
    <d v="2025-04-29T00:00:00"/>
    <s v="April"/>
    <n v="18"/>
    <x v="6"/>
    <n v="0.87"/>
    <n v="1.9"/>
    <n v="1"/>
    <n v="7"/>
    <n v="0.83142857142857152"/>
    <n v="5.82"/>
    <n v="8.2199999999999989"/>
    <n v="2.3860000000000001"/>
    <n v="0.41452991452991456"/>
    <x v="2"/>
    <n v="1.19"/>
  </r>
  <r>
    <d v="2025-04-29T00:00:00"/>
    <s v="April"/>
    <n v="18"/>
    <x v="6"/>
    <n v="0.87"/>
    <n v="1.9"/>
    <n v="1"/>
    <n v="7"/>
    <n v="0.83142857142857152"/>
    <n v="5.82"/>
    <n v="8.2199999999999989"/>
    <n v="2.3860000000000001"/>
    <n v="0.41452991452991456"/>
    <x v="3"/>
    <n v="4.8099999999999996"/>
  </r>
  <r>
    <d v="2025-04-29T00:00:00"/>
    <s v="April"/>
    <n v="18"/>
    <x v="6"/>
    <n v="0.87"/>
    <n v="1.9"/>
    <n v="1"/>
    <n v="7"/>
    <n v="0.83142857142857152"/>
    <n v="5.82"/>
    <n v="8.2199999999999989"/>
    <n v="2.3860000000000001"/>
    <n v="0.41452991452991456"/>
    <x v="4"/>
    <n v="2.54"/>
  </r>
  <r>
    <d v="2025-04-30T00:00:00"/>
    <s v="April"/>
    <n v="18"/>
    <x v="0"/>
    <n v="0.54"/>
    <n v="1.0900000000000001"/>
    <n v="2"/>
    <n v="7"/>
    <n v="0.98285714285714287"/>
    <n v="6.88"/>
    <n v="4.0199999999999996"/>
    <n v="3.1840000000000002"/>
    <n v="0.63119266055045875"/>
    <x v="0"/>
    <n v="3.8"/>
  </r>
  <r>
    <d v="2025-04-30T00:00:00"/>
    <s v="April"/>
    <n v="18"/>
    <x v="0"/>
    <n v="0.54"/>
    <n v="1.0900000000000001"/>
    <n v="2"/>
    <n v="7"/>
    <n v="0.98285714285714287"/>
    <n v="6.88"/>
    <n v="4.0199999999999996"/>
    <n v="3.1840000000000002"/>
    <n v="0.63119266055045875"/>
    <x v="1"/>
    <n v="5.38"/>
  </r>
  <r>
    <d v="2025-04-30T00:00:00"/>
    <s v="April"/>
    <n v="18"/>
    <x v="0"/>
    <n v="0.54"/>
    <n v="1.0900000000000001"/>
    <n v="2"/>
    <n v="7"/>
    <n v="0.98285714285714287"/>
    <n v="6.88"/>
    <n v="4.0199999999999996"/>
    <n v="3.1840000000000002"/>
    <n v="0.63119266055045875"/>
    <x v="2"/>
    <n v="1.99"/>
  </r>
  <r>
    <d v="2025-04-30T00:00:00"/>
    <s v="April"/>
    <n v="18"/>
    <x v="0"/>
    <n v="0.54"/>
    <n v="1.0900000000000001"/>
    <n v="2"/>
    <n v="7"/>
    <n v="0.98285714285714287"/>
    <n v="6.88"/>
    <n v="4.0199999999999996"/>
    <n v="3.1840000000000002"/>
    <n v="0.63119266055045875"/>
    <x v="3"/>
    <n v="1.83"/>
  </r>
  <r>
    <d v="2025-04-30T00:00:00"/>
    <s v="April"/>
    <n v="18"/>
    <x v="0"/>
    <n v="0.54"/>
    <n v="1.0900000000000001"/>
    <n v="2"/>
    <n v="7"/>
    <n v="0.98285714285714287"/>
    <n v="6.88"/>
    <n v="4.0199999999999996"/>
    <n v="3.1840000000000002"/>
    <n v="0.63119266055045875"/>
    <x v="4"/>
    <n v="1.65"/>
  </r>
  <r>
    <d v="2025-05-01T00:00:00"/>
    <s v="May"/>
    <n v="18"/>
    <x v="1"/>
    <n v="0.27"/>
    <n v="1.59"/>
    <n v="5"/>
    <n v="7"/>
    <n v="0.49571428571428572"/>
    <n v="3.47"/>
    <n v="6.48"/>
    <n v="1.992"/>
    <n v="0.34874371859296482"/>
    <x v="0"/>
    <n v="1.81"/>
  </r>
  <r>
    <d v="2025-05-01T00:00:00"/>
    <s v="May"/>
    <n v="18"/>
    <x v="1"/>
    <n v="0.27"/>
    <n v="1.59"/>
    <n v="5"/>
    <n v="7"/>
    <n v="0.49571428571428572"/>
    <n v="3.47"/>
    <n v="6.48"/>
    <n v="1.992"/>
    <n v="0.34874371859296482"/>
    <x v="1"/>
    <n v="6.25"/>
  </r>
  <r>
    <d v="2025-05-01T00:00:00"/>
    <s v="May"/>
    <n v="18"/>
    <x v="1"/>
    <n v="0.27"/>
    <n v="1.59"/>
    <n v="5"/>
    <n v="7"/>
    <n v="0.49571428571428572"/>
    <n v="3.47"/>
    <n v="6.48"/>
    <n v="1.992"/>
    <n v="0.34874371859296482"/>
    <x v="2"/>
    <n v="7.0000000000000007E-2"/>
  </r>
  <r>
    <d v="2025-05-01T00:00:00"/>
    <s v="May"/>
    <n v="18"/>
    <x v="1"/>
    <n v="0.27"/>
    <n v="1.59"/>
    <n v="5"/>
    <n v="7"/>
    <n v="0.49571428571428572"/>
    <n v="3.47"/>
    <n v="6.48"/>
    <n v="1.992"/>
    <n v="0.34874371859296482"/>
    <x v="3"/>
    <n v="3.49"/>
  </r>
  <r>
    <d v="2025-05-01T00:00:00"/>
    <s v="May"/>
    <n v="18"/>
    <x v="1"/>
    <n v="0.27"/>
    <n v="1.59"/>
    <n v="5"/>
    <n v="7"/>
    <n v="0.49571428571428572"/>
    <n v="3.47"/>
    <n v="6.48"/>
    <n v="1.992"/>
    <n v="0.34874371859296482"/>
    <x v="4"/>
    <n v="2.72"/>
  </r>
  <r>
    <d v="2025-05-02T00:00:00"/>
    <s v="May"/>
    <n v="18"/>
    <x v="2"/>
    <n v="1.84"/>
    <n v="0.94"/>
    <n v="10"/>
    <n v="7"/>
    <n v="0.84857142857142853"/>
    <n v="5.9399999999999995"/>
    <n v="6.93"/>
    <n v="3.2710000000000004"/>
    <n v="0.46153846153846151"/>
    <x v="0"/>
    <n v="3.31"/>
  </r>
  <r>
    <d v="2025-05-02T00:00:00"/>
    <s v="May"/>
    <n v="18"/>
    <x v="2"/>
    <n v="1.84"/>
    <n v="0.94"/>
    <n v="10"/>
    <n v="7"/>
    <n v="0.84857142857142853"/>
    <n v="5.9399999999999995"/>
    <n v="6.93"/>
    <n v="3.2710000000000004"/>
    <n v="0.46153846153846151"/>
    <x v="1"/>
    <n v="7.06"/>
  </r>
  <r>
    <d v="2025-05-02T00:00:00"/>
    <s v="May"/>
    <n v="18"/>
    <x v="2"/>
    <n v="1.84"/>
    <n v="0.94"/>
    <n v="10"/>
    <n v="7"/>
    <n v="0.84857142857142853"/>
    <n v="5.9399999999999995"/>
    <n v="6.93"/>
    <n v="3.2710000000000004"/>
    <n v="0.46153846153846151"/>
    <x v="2"/>
    <n v="1.69"/>
  </r>
  <r>
    <d v="2025-05-02T00:00:00"/>
    <s v="May"/>
    <n v="18"/>
    <x v="2"/>
    <n v="1.84"/>
    <n v="0.94"/>
    <n v="10"/>
    <n v="7"/>
    <n v="0.84857142857142853"/>
    <n v="5.9399999999999995"/>
    <n v="6.93"/>
    <n v="3.2710000000000004"/>
    <n v="0.46153846153846151"/>
    <x v="3"/>
    <n v="4.25"/>
  </r>
  <r>
    <d v="2025-05-02T00:00:00"/>
    <s v="May"/>
    <n v="18"/>
    <x v="2"/>
    <n v="1.84"/>
    <n v="0.94"/>
    <n v="10"/>
    <n v="7"/>
    <n v="0.84857142857142853"/>
    <n v="5.9399999999999995"/>
    <n v="6.93"/>
    <n v="3.2710000000000004"/>
    <n v="0.46153846153846151"/>
    <x v="4"/>
    <n v="0.84"/>
  </r>
  <r>
    <d v="2025-05-03T00:00:00"/>
    <s v="May"/>
    <n v="18"/>
    <x v="3"/>
    <n v="0.42"/>
    <n v="0.77"/>
    <n v="4"/>
    <n v="5"/>
    <n v="1"/>
    <n v="6.68"/>
    <n v="4.1900000000000004"/>
    <n v="3.8130000000000002"/>
    <n v="0.61453541858325655"/>
    <x v="0"/>
    <n v="4.33"/>
  </r>
  <r>
    <d v="2025-05-03T00:00:00"/>
    <s v="May"/>
    <n v="18"/>
    <x v="3"/>
    <n v="0.42"/>
    <n v="0.77"/>
    <n v="4"/>
    <n v="5"/>
    <n v="1"/>
    <n v="6.68"/>
    <n v="4.1900000000000004"/>
    <n v="3.8130000000000002"/>
    <n v="0.61453541858325655"/>
    <x v="1"/>
    <n v="7.14"/>
  </r>
  <r>
    <d v="2025-05-03T00:00:00"/>
    <s v="May"/>
    <n v="18"/>
    <x v="3"/>
    <n v="0.42"/>
    <n v="0.77"/>
    <n v="4"/>
    <n v="5"/>
    <n v="1"/>
    <n v="6.68"/>
    <n v="4.1900000000000004"/>
    <n v="3.8130000000000002"/>
    <n v="0.61453541858325655"/>
    <x v="2"/>
    <n v="1.58"/>
  </r>
  <r>
    <d v="2025-05-03T00:00:00"/>
    <s v="May"/>
    <n v="18"/>
    <x v="3"/>
    <n v="0.42"/>
    <n v="0.77"/>
    <n v="4"/>
    <n v="5"/>
    <n v="1"/>
    <n v="6.68"/>
    <n v="4.1900000000000004"/>
    <n v="3.8130000000000002"/>
    <n v="0.61453541858325655"/>
    <x v="3"/>
    <n v="2.89"/>
  </r>
  <r>
    <d v="2025-05-03T00:00:00"/>
    <s v="May"/>
    <n v="18"/>
    <x v="3"/>
    <n v="0.42"/>
    <n v="0.77"/>
    <n v="4"/>
    <n v="5"/>
    <n v="1"/>
    <n v="6.68"/>
    <n v="4.1900000000000004"/>
    <n v="3.8130000000000002"/>
    <n v="0.61453541858325655"/>
    <x v="4"/>
    <n v="0.88"/>
  </r>
  <r>
    <d v="2025-05-04T00:00:00"/>
    <s v="May"/>
    <n v="18"/>
    <x v="4"/>
    <n v="1.59"/>
    <n v="1.18"/>
    <n v="2"/>
    <n v="5"/>
    <n v="1"/>
    <n v="5.63"/>
    <n v="4.0599999999999996"/>
    <n v="4.0210000000000008"/>
    <n v="0.58101135190918474"/>
    <x v="0"/>
    <n v="3.54"/>
  </r>
  <r>
    <d v="2025-05-04T00:00:00"/>
    <s v="May"/>
    <n v="18"/>
    <x v="4"/>
    <n v="1.59"/>
    <n v="1.18"/>
    <n v="2"/>
    <n v="5"/>
    <n v="1"/>
    <n v="5.63"/>
    <n v="4.0599999999999996"/>
    <n v="4.0210000000000008"/>
    <n v="0.58101135190918474"/>
    <x v="1"/>
    <n v="8.9"/>
  </r>
  <r>
    <d v="2025-05-04T00:00:00"/>
    <s v="May"/>
    <n v="18"/>
    <x v="4"/>
    <n v="1.59"/>
    <n v="1.18"/>
    <n v="2"/>
    <n v="5"/>
    <n v="1"/>
    <n v="5.63"/>
    <n v="4.0599999999999996"/>
    <n v="4.0210000000000008"/>
    <n v="0.58101135190918474"/>
    <x v="2"/>
    <n v="0.91"/>
  </r>
  <r>
    <d v="2025-05-04T00:00:00"/>
    <s v="May"/>
    <n v="18"/>
    <x v="4"/>
    <n v="1.59"/>
    <n v="1.18"/>
    <n v="2"/>
    <n v="5"/>
    <n v="1"/>
    <n v="5.63"/>
    <n v="4.0599999999999996"/>
    <n v="4.0210000000000008"/>
    <n v="0.58101135190918474"/>
    <x v="3"/>
    <n v="2.44"/>
  </r>
  <r>
    <d v="2025-05-04T00:00:00"/>
    <s v="May"/>
    <n v="18"/>
    <x v="4"/>
    <n v="1.59"/>
    <n v="1.18"/>
    <n v="2"/>
    <n v="5"/>
    <n v="1"/>
    <n v="5.63"/>
    <n v="4.0599999999999996"/>
    <n v="4.0210000000000008"/>
    <n v="0.58101135190918474"/>
    <x v="4"/>
    <n v="0.03"/>
  </r>
  <r>
    <d v="2025-05-05T00:00:00"/>
    <s v="May"/>
    <n v="19"/>
    <x v="5"/>
    <n v="0.28000000000000003"/>
    <n v="0.81"/>
    <n v="2"/>
    <n v="7"/>
    <n v="0.54714285714285715"/>
    <n v="3.83"/>
    <n v="6.65"/>
    <n v="1.9370000000000003"/>
    <n v="0.36545801526717558"/>
    <x v="0"/>
    <n v="1.1499999999999999"/>
  </r>
  <r>
    <d v="2025-05-05T00:00:00"/>
    <s v="May"/>
    <n v="19"/>
    <x v="5"/>
    <n v="0.28000000000000003"/>
    <n v="0.81"/>
    <n v="2"/>
    <n v="7"/>
    <n v="0.54714285714285715"/>
    <n v="3.83"/>
    <n v="6.65"/>
    <n v="1.9370000000000003"/>
    <n v="0.36545801526717558"/>
    <x v="1"/>
    <n v="5.8"/>
  </r>
  <r>
    <d v="2025-05-05T00:00:00"/>
    <s v="May"/>
    <n v="19"/>
    <x v="5"/>
    <n v="0.28000000000000003"/>
    <n v="0.81"/>
    <n v="2"/>
    <n v="7"/>
    <n v="0.54714285714285715"/>
    <n v="3.83"/>
    <n v="6.65"/>
    <n v="1.9370000000000003"/>
    <n v="0.36545801526717558"/>
    <x v="2"/>
    <n v="1.87"/>
  </r>
  <r>
    <d v="2025-05-05T00:00:00"/>
    <s v="May"/>
    <n v="19"/>
    <x v="5"/>
    <n v="0.28000000000000003"/>
    <n v="0.81"/>
    <n v="2"/>
    <n v="7"/>
    <n v="0.54714285714285715"/>
    <n v="3.83"/>
    <n v="6.65"/>
    <n v="1.9370000000000003"/>
    <n v="0.36545801526717558"/>
    <x v="3"/>
    <n v="3.74"/>
  </r>
  <r>
    <d v="2025-05-05T00:00:00"/>
    <s v="May"/>
    <n v="19"/>
    <x v="5"/>
    <n v="0.28000000000000003"/>
    <n v="0.81"/>
    <n v="2"/>
    <n v="7"/>
    <n v="0.54714285714285715"/>
    <n v="3.83"/>
    <n v="6.65"/>
    <n v="1.9370000000000003"/>
    <n v="0.36545801526717558"/>
    <x v="4"/>
    <n v="2.63"/>
  </r>
  <r>
    <d v="2025-05-06T00:00:00"/>
    <s v="May"/>
    <n v="19"/>
    <x v="6"/>
    <n v="1.89"/>
    <n v="0.8"/>
    <n v="3"/>
    <n v="7"/>
    <n v="0.75428571428571434"/>
    <n v="5.28"/>
    <n v="7.0299999999999994"/>
    <n v="3.5869999999999997"/>
    <n v="0.42891957757920396"/>
    <x v="0"/>
    <n v="3.47"/>
  </r>
  <r>
    <d v="2025-05-06T00:00:00"/>
    <s v="May"/>
    <n v="19"/>
    <x v="6"/>
    <n v="1.89"/>
    <n v="0.8"/>
    <n v="3"/>
    <n v="7"/>
    <n v="0.75428571428571434"/>
    <n v="5.28"/>
    <n v="7.0299999999999994"/>
    <n v="3.5869999999999997"/>
    <n v="0.42891957757920396"/>
    <x v="1"/>
    <n v="8.3699999999999992"/>
  </r>
  <r>
    <d v="2025-05-06T00:00:00"/>
    <s v="May"/>
    <n v="19"/>
    <x v="6"/>
    <n v="1.89"/>
    <n v="0.8"/>
    <n v="3"/>
    <n v="7"/>
    <n v="0.75428571428571434"/>
    <n v="5.28"/>
    <n v="7.0299999999999994"/>
    <n v="3.5869999999999997"/>
    <n v="0.42891957757920396"/>
    <x v="2"/>
    <n v="1.01"/>
  </r>
  <r>
    <d v="2025-05-06T00:00:00"/>
    <s v="May"/>
    <n v="19"/>
    <x v="6"/>
    <n v="1.89"/>
    <n v="0.8"/>
    <n v="3"/>
    <n v="7"/>
    <n v="0.75428571428571434"/>
    <n v="5.28"/>
    <n v="7.0299999999999994"/>
    <n v="3.5869999999999997"/>
    <n v="0.42891957757920396"/>
    <x v="3"/>
    <n v="2.5299999999999998"/>
  </r>
  <r>
    <d v="2025-05-06T00:00:00"/>
    <s v="May"/>
    <n v="19"/>
    <x v="6"/>
    <n v="1.89"/>
    <n v="0.8"/>
    <n v="3"/>
    <n v="7"/>
    <n v="0.75428571428571434"/>
    <n v="5.28"/>
    <n v="7.0299999999999994"/>
    <n v="3.5869999999999997"/>
    <n v="0.42891957757920396"/>
    <x v="4"/>
    <n v="2.61"/>
  </r>
  <r>
    <d v="2025-05-07T00:00:00"/>
    <s v="May"/>
    <n v="19"/>
    <x v="0"/>
    <n v="1"/>
    <n v="0.33"/>
    <n v="4"/>
    <n v="7"/>
    <n v="0.67714285714285716"/>
    <n v="4.74"/>
    <n v="3.5300000000000002"/>
    <n v="3.6249999999999996"/>
    <n v="0.57315598548972191"/>
    <x v="0"/>
    <n v="4.3"/>
  </r>
  <r>
    <d v="2025-05-07T00:00:00"/>
    <s v="May"/>
    <n v="19"/>
    <x v="0"/>
    <n v="1"/>
    <n v="0.33"/>
    <n v="4"/>
    <n v="7"/>
    <n v="0.67714285714285716"/>
    <n v="4.74"/>
    <n v="3.5300000000000002"/>
    <n v="3.6249999999999996"/>
    <n v="0.57315598548972191"/>
    <x v="1"/>
    <n v="7.12"/>
  </r>
  <r>
    <d v="2025-05-07T00:00:00"/>
    <s v="May"/>
    <n v="19"/>
    <x v="0"/>
    <n v="1"/>
    <n v="0.33"/>
    <n v="4"/>
    <n v="7"/>
    <n v="0.67714285714285716"/>
    <n v="4.74"/>
    <n v="3.5300000000000002"/>
    <n v="3.6249999999999996"/>
    <n v="0.57315598548972191"/>
    <x v="2"/>
    <n v="0.11"/>
  </r>
  <r>
    <d v="2025-05-07T00:00:00"/>
    <s v="May"/>
    <n v="19"/>
    <x v="0"/>
    <n v="1"/>
    <n v="0.33"/>
    <n v="4"/>
    <n v="7"/>
    <n v="0.67714285714285716"/>
    <n v="4.74"/>
    <n v="3.5300000000000002"/>
    <n v="3.6249999999999996"/>
    <n v="0.57315598548972191"/>
    <x v="3"/>
    <n v="1.97"/>
  </r>
  <r>
    <d v="2025-05-07T00:00:00"/>
    <s v="May"/>
    <n v="19"/>
    <x v="0"/>
    <n v="1"/>
    <n v="0.33"/>
    <n v="4"/>
    <n v="7"/>
    <n v="0.67714285714285716"/>
    <n v="4.74"/>
    <n v="3.5300000000000002"/>
    <n v="3.6249999999999996"/>
    <n v="0.57315598548972191"/>
    <x v="4"/>
    <n v="0.56000000000000005"/>
  </r>
  <r>
    <d v="2025-05-08T00:00:00"/>
    <s v="May"/>
    <n v="19"/>
    <x v="1"/>
    <n v="0.81"/>
    <n v="0.78"/>
    <n v="2"/>
    <n v="7"/>
    <n v="0.43285714285714283"/>
    <n v="3.03"/>
    <n v="5.3900000000000006"/>
    <n v="2.6599999999999997"/>
    <n v="0.35985748218527314"/>
    <x v="0"/>
    <n v="1.64"/>
  </r>
  <r>
    <d v="2025-05-08T00:00:00"/>
    <s v="May"/>
    <n v="19"/>
    <x v="1"/>
    <n v="0.81"/>
    <n v="0.78"/>
    <n v="2"/>
    <n v="7"/>
    <n v="0.43285714285714283"/>
    <n v="3.03"/>
    <n v="5.3900000000000006"/>
    <n v="2.6599999999999997"/>
    <n v="0.35985748218527314"/>
    <x v="1"/>
    <n v="7.8"/>
  </r>
  <r>
    <d v="2025-05-08T00:00:00"/>
    <s v="May"/>
    <n v="19"/>
    <x v="1"/>
    <n v="0.81"/>
    <n v="0.78"/>
    <n v="2"/>
    <n v="7"/>
    <n v="0.43285714285714283"/>
    <n v="3.03"/>
    <n v="5.3900000000000006"/>
    <n v="2.6599999999999997"/>
    <n v="0.35985748218527314"/>
    <x v="2"/>
    <n v="0.61"/>
  </r>
  <r>
    <d v="2025-05-08T00:00:00"/>
    <s v="May"/>
    <n v="19"/>
    <x v="1"/>
    <n v="0.81"/>
    <n v="0.78"/>
    <n v="2"/>
    <n v="7"/>
    <n v="0.43285714285714283"/>
    <n v="3.03"/>
    <n v="5.3900000000000006"/>
    <n v="2.6599999999999997"/>
    <n v="0.35985748218527314"/>
    <x v="3"/>
    <n v="3.94"/>
  </r>
  <r>
    <d v="2025-05-08T00:00:00"/>
    <s v="May"/>
    <n v="19"/>
    <x v="1"/>
    <n v="0.81"/>
    <n v="0.78"/>
    <n v="2"/>
    <n v="7"/>
    <n v="0.43285714285714283"/>
    <n v="3.03"/>
    <n v="5.3900000000000006"/>
    <n v="2.6599999999999997"/>
    <n v="0.35985748218527314"/>
    <x v="4"/>
    <n v="0.64"/>
  </r>
  <r>
    <d v="2025-05-09T00:00:00"/>
    <s v="May"/>
    <n v="19"/>
    <x v="2"/>
    <n v="1.81"/>
    <n v="0.19"/>
    <n v="10"/>
    <n v="7"/>
    <n v="0.70000000000000007"/>
    <n v="4.9000000000000004"/>
    <n v="6.35"/>
    <n v="3.6869999999999998"/>
    <n v="0.43555555555555558"/>
    <x v="0"/>
    <n v="3.95"/>
  </r>
  <r>
    <d v="2025-05-09T00:00:00"/>
    <s v="May"/>
    <n v="19"/>
    <x v="2"/>
    <n v="1.81"/>
    <n v="0.19"/>
    <n v="10"/>
    <n v="7"/>
    <n v="0.70000000000000007"/>
    <n v="4.9000000000000004"/>
    <n v="6.35"/>
    <n v="3.6869999999999998"/>
    <n v="0.43555555555555558"/>
    <x v="1"/>
    <n v="8.0299999999999994"/>
  </r>
  <r>
    <d v="2025-05-09T00:00:00"/>
    <s v="May"/>
    <n v="19"/>
    <x v="2"/>
    <n v="1.81"/>
    <n v="0.19"/>
    <n v="10"/>
    <n v="7"/>
    <n v="0.70000000000000007"/>
    <n v="4.9000000000000004"/>
    <n v="6.35"/>
    <n v="3.6869999999999998"/>
    <n v="0.43555555555555558"/>
    <x v="2"/>
    <n v="0.76"/>
  </r>
  <r>
    <d v="2025-05-09T00:00:00"/>
    <s v="May"/>
    <n v="19"/>
    <x v="2"/>
    <n v="1.81"/>
    <n v="0.19"/>
    <n v="10"/>
    <n v="7"/>
    <n v="0.70000000000000007"/>
    <n v="4.9000000000000004"/>
    <n v="6.35"/>
    <n v="3.6869999999999998"/>
    <n v="0.43555555555555558"/>
    <x v="3"/>
    <n v="1.97"/>
  </r>
  <r>
    <d v="2025-05-09T00:00:00"/>
    <s v="May"/>
    <n v="19"/>
    <x v="2"/>
    <n v="1.81"/>
    <n v="0.19"/>
    <n v="10"/>
    <n v="7"/>
    <n v="0.70000000000000007"/>
    <n v="4.9000000000000004"/>
    <n v="6.35"/>
    <n v="3.6869999999999998"/>
    <n v="0.43555555555555558"/>
    <x v="4"/>
    <n v="2.57"/>
  </r>
  <r>
    <d v="2025-05-10T00:00:00"/>
    <s v="May"/>
    <n v="19"/>
    <x v="3"/>
    <n v="1.98"/>
    <n v="0.55000000000000004"/>
    <n v="1"/>
    <n v="5"/>
    <n v="1"/>
    <n v="5.21"/>
    <n v="7.85"/>
    <n v="3.1109999999999998"/>
    <n v="0.39892802450229714"/>
    <x v="0"/>
    <n v="3.78"/>
  </r>
  <r>
    <d v="2025-05-10T00:00:00"/>
    <s v="May"/>
    <n v="19"/>
    <x v="3"/>
    <n v="1.98"/>
    <n v="0.55000000000000004"/>
    <n v="1"/>
    <n v="5"/>
    <n v="1"/>
    <n v="5.21"/>
    <n v="7.85"/>
    <n v="3.1109999999999998"/>
    <n v="0.39892802450229714"/>
    <x v="1"/>
    <n v="6.7"/>
  </r>
  <r>
    <d v="2025-05-10T00:00:00"/>
    <s v="May"/>
    <n v="19"/>
    <x v="3"/>
    <n v="1.98"/>
    <n v="0.55000000000000004"/>
    <n v="1"/>
    <n v="5"/>
    <n v="1"/>
    <n v="5.21"/>
    <n v="7.85"/>
    <n v="3.1109999999999998"/>
    <n v="0.39892802450229714"/>
    <x v="2"/>
    <n v="0.88"/>
  </r>
  <r>
    <d v="2025-05-10T00:00:00"/>
    <s v="May"/>
    <n v="19"/>
    <x v="3"/>
    <n v="1.98"/>
    <n v="0.55000000000000004"/>
    <n v="1"/>
    <n v="5"/>
    <n v="1"/>
    <n v="5.21"/>
    <n v="7.85"/>
    <n v="3.1109999999999998"/>
    <n v="0.39892802450229714"/>
    <x v="3"/>
    <n v="3.06"/>
  </r>
  <r>
    <d v="2025-05-10T00:00:00"/>
    <s v="May"/>
    <n v="19"/>
    <x v="3"/>
    <n v="1.98"/>
    <n v="0.55000000000000004"/>
    <n v="1"/>
    <n v="5"/>
    <n v="1"/>
    <n v="5.21"/>
    <n v="7.85"/>
    <n v="3.1109999999999998"/>
    <n v="0.39892802450229714"/>
    <x v="4"/>
    <n v="2.81"/>
  </r>
  <r>
    <d v="2025-05-11T00:00:00"/>
    <s v="May"/>
    <n v="19"/>
    <x v="4"/>
    <n v="1.23"/>
    <n v="1.1100000000000001"/>
    <n v="10"/>
    <n v="5"/>
    <n v="0.77000000000000013"/>
    <n v="3.8500000000000005"/>
    <n v="7.3100000000000005"/>
    <n v="2.7029999999999998"/>
    <n v="0.34498207885304666"/>
    <x v="0"/>
    <n v="1.17"/>
  </r>
  <r>
    <d v="2025-05-11T00:00:00"/>
    <s v="May"/>
    <n v="19"/>
    <x v="4"/>
    <n v="1.23"/>
    <n v="1.1100000000000001"/>
    <n v="10"/>
    <n v="5"/>
    <n v="0.77000000000000013"/>
    <n v="3.8500000000000005"/>
    <n v="7.3100000000000005"/>
    <n v="2.7029999999999998"/>
    <n v="0.34498207885304666"/>
    <x v="1"/>
    <n v="8.43"/>
  </r>
  <r>
    <d v="2025-05-11T00:00:00"/>
    <s v="May"/>
    <n v="19"/>
    <x v="4"/>
    <n v="1.23"/>
    <n v="1.1100000000000001"/>
    <n v="10"/>
    <n v="5"/>
    <n v="0.77000000000000013"/>
    <n v="3.8500000000000005"/>
    <n v="7.3100000000000005"/>
    <n v="2.7029999999999998"/>
    <n v="0.34498207885304666"/>
    <x v="2"/>
    <n v="1.57"/>
  </r>
  <r>
    <d v="2025-05-11T00:00:00"/>
    <s v="May"/>
    <n v="19"/>
    <x v="4"/>
    <n v="1.23"/>
    <n v="1.1100000000000001"/>
    <n v="10"/>
    <n v="5"/>
    <n v="0.77000000000000013"/>
    <n v="3.8500000000000005"/>
    <n v="7.3100000000000005"/>
    <n v="2.7029999999999998"/>
    <n v="0.34498207885304666"/>
    <x v="3"/>
    <n v="3.61"/>
  </r>
  <r>
    <d v="2025-05-11T00:00:00"/>
    <s v="May"/>
    <n v="19"/>
    <x v="4"/>
    <n v="1.23"/>
    <n v="1.1100000000000001"/>
    <n v="10"/>
    <n v="5"/>
    <n v="0.77000000000000013"/>
    <n v="3.8500000000000005"/>
    <n v="7.3100000000000005"/>
    <n v="2.7029999999999998"/>
    <n v="0.34498207885304666"/>
    <x v="4"/>
    <n v="2.4700000000000002"/>
  </r>
  <r>
    <d v="2025-05-12T00:00:00"/>
    <s v="May"/>
    <n v="20"/>
    <x v="5"/>
    <n v="1.76"/>
    <n v="1.49"/>
    <n v="5"/>
    <n v="7"/>
    <n v="1"/>
    <n v="9.0500000000000007"/>
    <n v="5.41"/>
    <n v="4.4139999999999997"/>
    <n v="0.62586445366528354"/>
    <x v="0"/>
    <n v="5.76"/>
  </r>
  <r>
    <d v="2025-05-12T00:00:00"/>
    <s v="May"/>
    <n v="20"/>
    <x v="5"/>
    <n v="1.76"/>
    <n v="1.49"/>
    <n v="5"/>
    <n v="7"/>
    <n v="1"/>
    <n v="9.0500000000000007"/>
    <n v="5.41"/>
    <n v="4.4139999999999997"/>
    <n v="0.62586445366528354"/>
    <x v="1"/>
    <n v="7.05"/>
  </r>
  <r>
    <d v="2025-05-12T00:00:00"/>
    <s v="May"/>
    <n v="20"/>
    <x v="5"/>
    <n v="1.76"/>
    <n v="1.49"/>
    <n v="5"/>
    <n v="7"/>
    <n v="1"/>
    <n v="9.0500000000000007"/>
    <n v="5.41"/>
    <n v="4.4139999999999997"/>
    <n v="0.62586445366528354"/>
    <x v="2"/>
    <n v="1.8"/>
  </r>
  <r>
    <d v="2025-05-12T00:00:00"/>
    <s v="May"/>
    <n v="20"/>
    <x v="5"/>
    <n v="1.76"/>
    <n v="1.49"/>
    <n v="5"/>
    <n v="7"/>
    <n v="1"/>
    <n v="9.0500000000000007"/>
    <n v="5.41"/>
    <n v="4.4139999999999997"/>
    <n v="0.62586445366528354"/>
    <x v="3"/>
    <n v="2.35"/>
  </r>
  <r>
    <d v="2025-05-12T00:00:00"/>
    <s v="May"/>
    <n v="20"/>
    <x v="5"/>
    <n v="1.76"/>
    <n v="1.49"/>
    <n v="5"/>
    <n v="7"/>
    <n v="1"/>
    <n v="9.0500000000000007"/>
    <n v="5.41"/>
    <n v="4.4139999999999997"/>
    <n v="0.62586445366528354"/>
    <x v="4"/>
    <n v="1.3"/>
  </r>
  <r>
    <d v="2025-05-13T00:00:00"/>
    <s v="May"/>
    <n v="20"/>
    <x v="6"/>
    <n v="0.93"/>
    <n v="1.69"/>
    <n v="10"/>
    <n v="7"/>
    <n v="0.46714285714285714"/>
    <n v="3.27"/>
    <n v="8.6999999999999993"/>
    <n v="1.7799999999999998"/>
    <n v="0.27318295739348375"/>
    <x v="0"/>
    <n v="1.23"/>
  </r>
  <r>
    <d v="2025-05-13T00:00:00"/>
    <s v="May"/>
    <n v="20"/>
    <x v="6"/>
    <n v="0.93"/>
    <n v="1.69"/>
    <n v="10"/>
    <n v="7"/>
    <n v="0.46714285714285714"/>
    <n v="3.27"/>
    <n v="8.6999999999999993"/>
    <n v="1.7799999999999998"/>
    <n v="0.27318295739348375"/>
    <x v="1"/>
    <n v="6.65"/>
  </r>
  <r>
    <d v="2025-05-13T00:00:00"/>
    <s v="May"/>
    <n v="20"/>
    <x v="6"/>
    <n v="0.93"/>
    <n v="1.69"/>
    <n v="10"/>
    <n v="7"/>
    <n v="0.46714285714285714"/>
    <n v="3.27"/>
    <n v="8.6999999999999993"/>
    <n v="1.7799999999999998"/>
    <n v="0.27318295739348375"/>
    <x v="2"/>
    <n v="0.35"/>
  </r>
  <r>
    <d v="2025-05-13T00:00:00"/>
    <s v="May"/>
    <n v="20"/>
    <x v="6"/>
    <n v="0.93"/>
    <n v="1.69"/>
    <n v="10"/>
    <n v="7"/>
    <n v="0.46714285714285714"/>
    <n v="3.27"/>
    <n v="8.6999999999999993"/>
    <n v="1.7799999999999998"/>
    <n v="0.27318295739348375"/>
    <x v="3"/>
    <n v="4.79"/>
  </r>
  <r>
    <d v="2025-05-13T00:00:00"/>
    <s v="May"/>
    <n v="20"/>
    <x v="6"/>
    <n v="0.93"/>
    <n v="1.69"/>
    <n v="10"/>
    <n v="7"/>
    <n v="0.46714285714285714"/>
    <n v="3.27"/>
    <n v="8.6999999999999993"/>
    <n v="1.7799999999999998"/>
    <n v="0.27318295739348375"/>
    <x v="4"/>
    <n v="2.98"/>
  </r>
  <r>
    <d v="2025-05-14T00:00:00"/>
    <s v="May"/>
    <n v="20"/>
    <x v="0"/>
    <n v="0.12"/>
    <n v="0.88"/>
    <n v="10"/>
    <n v="7"/>
    <n v="1"/>
    <n v="7.7799999999999994"/>
    <n v="5.31"/>
    <n v="3.883"/>
    <n v="0.59434682964094721"/>
    <x v="0"/>
    <n v="5.3"/>
  </r>
  <r>
    <d v="2025-05-14T00:00:00"/>
    <s v="May"/>
    <n v="20"/>
    <x v="0"/>
    <n v="0.12"/>
    <n v="0.88"/>
    <n v="10"/>
    <n v="7"/>
    <n v="1"/>
    <n v="7.7799999999999994"/>
    <n v="5.31"/>
    <n v="3.883"/>
    <n v="0.59434682964094721"/>
    <x v="1"/>
    <n v="6.54"/>
  </r>
  <r>
    <d v="2025-05-14T00:00:00"/>
    <s v="May"/>
    <n v="20"/>
    <x v="0"/>
    <n v="0.12"/>
    <n v="0.88"/>
    <n v="10"/>
    <n v="7"/>
    <n v="1"/>
    <n v="7.7799999999999994"/>
    <n v="5.31"/>
    <n v="3.883"/>
    <n v="0.59434682964094721"/>
    <x v="2"/>
    <n v="1.6"/>
  </r>
  <r>
    <d v="2025-05-14T00:00:00"/>
    <s v="May"/>
    <n v="20"/>
    <x v="0"/>
    <n v="0.12"/>
    <n v="0.88"/>
    <n v="10"/>
    <n v="7"/>
    <n v="1"/>
    <n v="7.7799999999999994"/>
    <n v="5.31"/>
    <n v="3.883"/>
    <n v="0.59434682964094721"/>
    <x v="3"/>
    <n v="2.75"/>
  </r>
  <r>
    <d v="2025-05-14T00:00:00"/>
    <s v="May"/>
    <n v="20"/>
    <x v="0"/>
    <n v="0.12"/>
    <n v="0.88"/>
    <n v="10"/>
    <n v="7"/>
    <n v="1"/>
    <n v="7.7799999999999994"/>
    <n v="5.31"/>
    <n v="3.883"/>
    <n v="0.59434682964094721"/>
    <x v="4"/>
    <n v="2.44"/>
  </r>
  <r>
    <d v="2025-05-15T00:00:00"/>
    <s v="May"/>
    <n v="20"/>
    <x v="1"/>
    <n v="1.1499999999999999"/>
    <n v="1.64"/>
    <n v="4"/>
    <n v="7"/>
    <n v="0.9028571428571428"/>
    <n v="6.3199999999999994"/>
    <n v="8.26"/>
    <n v="2.5599999999999996"/>
    <n v="0.43347050754458161"/>
    <x v="0"/>
    <n v="3.71"/>
  </r>
  <r>
    <d v="2025-05-15T00:00:00"/>
    <s v="May"/>
    <n v="20"/>
    <x v="1"/>
    <n v="1.1499999999999999"/>
    <n v="1.64"/>
    <n v="4"/>
    <n v="7"/>
    <n v="0.9028571428571428"/>
    <n v="6.3199999999999994"/>
    <n v="8.26"/>
    <n v="2.5599999999999996"/>
    <n v="0.43347050754458161"/>
    <x v="1"/>
    <n v="5.31"/>
  </r>
  <r>
    <d v="2025-05-15T00:00:00"/>
    <s v="May"/>
    <n v="20"/>
    <x v="1"/>
    <n v="1.1499999999999999"/>
    <n v="1.64"/>
    <n v="4"/>
    <n v="7"/>
    <n v="0.9028571428571428"/>
    <n v="6.3199999999999994"/>
    <n v="8.26"/>
    <n v="2.5599999999999996"/>
    <n v="0.43347050754458161"/>
    <x v="2"/>
    <n v="0.97"/>
  </r>
  <r>
    <d v="2025-05-15T00:00:00"/>
    <s v="May"/>
    <n v="20"/>
    <x v="1"/>
    <n v="1.1499999999999999"/>
    <n v="1.64"/>
    <n v="4"/>
    <n v="7"/>
    <n v="0.9028571428571428"/>
    <n v="6.3199999999999994"/>
    <n v="8.26"/>
    <n v="2.5599999999999996"/>
    <n v="0.43347050754458161"/>
    <x v="3"/>
    <n v="4.59"/>
  </r>
  <r>
    <d v="2025-05-15T00:00:00"/>
    <s v="May"/>
    <n v="20"/>
    <x v="1"/>
    <n v="1.1499999999999999"/>
    <n v="1.64"/>
    <n v="4"/>
    <n v="7"/>
    <n v="0.9028571428571428"/>
    <n v="6.3199999999999994"/>
    <n v="8.26"/>
    <n v="2.5599999999999996"/>
    <n v="0.43347050754458161"/>
    <x v="4"/>
    <n v="2.52"/>
  </r>
  <r>
    <d v="2025-05-16T00:00:00"/>
    <s v="May"/>
    <n v="20"/>
    <x v="2"/>
    <n v="0.95"/>
    <n v="1.99"/>
    <n v="9"/>
    <n v="7"/>
    <n v="0.98857142857142855"/>
    <n v="6.92"/>
    <n v="3.1100000000000003"/>
    <n v="3.5639999999999996"/>
    <n v="0.68993020937188421"/>
    <x v="0"/>
    <n v="4.0999999999999996"/>
  </r>
  <r>
    <d v="2025-05-16T00:00:00"/>
    <s v="May"/>
    <n v="20"/>
    <x v="2"/>
    <n v="0.95"/>
    <n v="1.99"/>
    <n v="9"/>
    <n v="7"/>
    <n v="0.98857142857142855"/>
    <n v="6.92"/>
    <n v="3.1100000000000003"/>
    <n v="3.5639999999999996"/>
    <n v="0.68993020937188421"/>
    <x v="1"/>
    <n v="6.58"/>
  </r>
  <r>
    <d v="2025-05-16T00:00:00"/>
    <s v="May"/>
    <n v="20"/>
    <x v="2"/>
    <n v="0.95"/>
    <n v="1.99"/>
    <n v="9"/>
    <n v="7"/>
    <n v="0.98857142857142855"/>
    <n v="6.92"/>
    <n v="3.1100000000000003"/>
    <n v="3.5639999999999996"/>
    <n v="0.68993020937188421"/>
    <x v="2"/>
    <n v="0.83"/>
  </r>
  <r>
    <d v="2025-05-16T00:00:00"/>
    <s v="May"/>
    <n v="20"/>
    <x v="2"/>
    <n v="0.95"/>
    <n v="1.99"/>
    <n v="9"/>
    <n v="7"/>
    <n v="0.98857142857142855"/>
    <n v="6.92"/>
    <n v="3.1100000000000003"/>
    <n v="3.5639999999999996"/>
    <n v="0.68993020937188421"/>
    <x v="3"/>
    <n v="1.96"/>
  </r>
  <r>
    <d v="2025-05-16T00:00:00"/>
    <s v="May"/>
    <n v="20"/>
    <x v="2"/>
    <n v="0.95"/>
    <n v="1.99"/>
    <n v="9"/>
    <n v="7"/>
    <n v="0.98857142857142855"/>
    <n v="6.92"/>
    <n v="3.1100000000000003"/>
    <n v="3.5639999999999996"/>
    <n v="0.68993020937188421"/>
    <x v="4"/>
    <n v="0.2"/>
  </r>
  <r>
    <d v="2025-05-17T00:00:00"/>
    <s v="May"/>
    <n v="20"/>
    <x v="3"/>
    <n v="0.74"/>
    <n v="0.34"/>
    <n v="4"/>
    <n v="5"/>
    <n v="1"/>
    <n v="5.51"/>
    <n v="4.7300000000000004"/>
    <n v="3.6840000000000002"/>
    <n v="0.5380859375"/>
    <x v="0"/>
    <n v="4.5199999999999996"/>
  </r>
  <r>
    <d v="2025-05-17T00:00:00"/>
    <s v="May"/>
    <n v="20"/>
    <x v="3"/>
    <n v="0.74"/>
    <n v="0.34"/>
    <n v="4"/>
    <n v="5"/>
    <n v="1"/>
    <n v="5.51"/>
    <n v="4.7300000000000004"/>
    <n v="3.6840000000000002"/>
    <n v="0.5380859375"/>
    <x v="1"/>
    <n v="7.15"/>
  </r>
  <r>
    <d v="2025-05-17T00:00:00"/>
    <s v="May"/>
    <n v="20"/>
    <x v="3"/>
    <n v="0.74"/>
    <n v="0.34"/>
    <n v="4"/>
    <n v="5"/>
    <n v="1"/>
    <n v="5.51"/>
    <n v="4.7300000000000004"/>
    <n v="3.6840000000000002"/>
    <n v="0.5380859375"/>
    <x v="2"/>
    <n v="0.65"/>
  </r>
  <r>
    <d v="2025-05-17T00:00:00"/>
    <s v="May"/>
    <n v="20"/>
    <x v="3"/>
    <n v="0.74"/>
    <n v="0.34"/>
    <n v="4"/>
    <n v="5"/>
    <n v="1"/>
    <n v="5.51"/>
    <n v="4.7300000000000004"/>
    <n v="3.6840000000000002"/>
    <n v="0.5380859375"/>
    <x v="3"/>
    <n v="2.58"/>
  </r>
  <r>
    <d v="2025-05-17T00:00:00"/>
    <s v="May"/>
    <n v="20"/>
    <x v="3"/>
    <n v="0.74"/>
    <n v="0.34"/>
    <n v="4"/>
    <n v="5"/>
    <n v="1"/>
    <n v="5.51"/>
    <n v="4.7300000000000004"/>
    <n v="3.6840000000000002"/>
    <n v="0.5380859375"/>
    <x v="4"/>
    <n v="1.41"/>
  </r>
  <r>
    <d v="2025-05-18T00:00:00"/>
    <s v="May"/>
    <n v="20"/>
    <x v="4"/>
    <n v="0.99"/>
    <n v="0.79"/>
    <n v="10"/>
    <n v="5"/>
    <n v="0.96200000000000008"/>
    <n v="4.8100000000000005"/>
    <n v="5.04"/>
    <n v="3.085"/>
    <n v="0.48832487309644668"/>
    <x v="0"/>
    <n v="2.39"/>
  </r>
  <r>
    <d v="2025-05-18T00:00:00"/>
    <s v="May"/>
    <n v="20"/>
    <x v="4"/>
    <n v="0.99"/>
    <n v="0.79"/>
    <n v="10"/>
    <n v="5"/>
    <n v="0.96200000000000008"/>
    <n v="4.8100000000000005"/>
    <n v="5.04"/>
    <n v="3.085"/>
    <n v="0.48832487309644668"/>
    <x v="1"/>
    <n v="7.36"/>
  </r>
  <r>
    <d v="2025-05-18T00:00:00"/>
    <s v="May"/>
    <n v="20"/>
    <x v="4"/>
    <n v="0.99"/>
    <n v="0.79"/>
    <n v="10"/>
    <n v="5"/>
    <n v="0.96200000000000008"/>
    <n v="4.8100000000000005"/>
    <n v="5.04"/>
    <n v="3.085"/>
    <n v="0.48832487309644668"/>
    <x v="2"/>
    <n v="1.63"/>
  </r>
  <r>
    <d v="2025-05-18T00:00:00"/>
    <s v="May"/>
    <n v="20"/>
    <x v="4"/>
    <n v="0.99"/>
    <n v="0.79"/>
    <n v="10"/>
    <n v="5"/>
    <n v="0.96200000000000008"/>
    <n v="4.8100000000000005"/>
    <n v="5.04"/>
    <n v="3.085"/>
    <n v="0.48832487309644668"/>
    <x v="3"/>
    <n v="1.72"/>
  </r>
  <r>
    <d v="2025-05-18T00:00:00"/>
    <s v="May"/>
    <n v="20"/>
    <x v="4"/>
    <n v="0.99"/>
    <n v="0.79"/>
    <n v="10"/>
    <n v="5"/>
    <n v="0.96200000000000008"/>
    <n v="4.8100000000000005"/>
    <n v="5.04"/>
    <n v="3.085"/>
    <n v="0.48832487309644668"/>
    <x v="4"/>
    <n v="2.33"/>
  </r>
  <r>
    <d v="2025-05-19T00:00:00"/>
    <s v="May"/>
    <n v="21"/>
    <x v="5"/>
    <n v="1.87"/>
    <n v="1.24"/>
    <n v="5"/>
    <n v="7"/>
    <n v="0.76142857142857145"/>
    <n v="5.33"/>
    <n v="6.16"/>
    <n v="3.5110000000000001"/>
    <n v="0.46388163620539602"/>
    <x v="0"/>
    <n v="3.58"/>
  </r>
  <r>
    <d v="2025-05-19T00:00:00"/>
    <s v="May"/>
    <n v="21"/>
    <x v="5"/>
    <n v="1.87"/>
    <n v="1.24"/>
    <n v="5"/>
    <n v="7"/>
    <n v="0.76142857142857145"/>
    <n v="5.33"/>
    <n v="6.16"/>
    <n v="3.5110000000000001"/>
    <n v="0.46388163620539602"/>
    <x v="1"/>
    <n v="8.02"/>
  </r>
  <r>
    <d v="2025-05-19T00:00:00"/>
    <s v="May"/>
    <n v="21"/>
    <x v="5"/>
    <n v="1.87"/>
    <n v="1.24"/>
    <n v="5"/>
    <n v="7"/>
    <n v="0.76142857142857145"/>
    <n v="5.33"/>
    <n v="6.16"/>
    <n v="3.5110000000000001"/>
    <n v="0.46388163620539602"/>
    <x v="2"/>
    <n v="0.51"/>
  </r>
  <r>
    <d v="2025-05-19T00:00:00"/>
    <s v="May"/>
    <n v="21"/>
    <x v="5"/>
    <n v="1.87"/>
    <n v="1.24"/>
    <n v="5"/>
    <n v="7"/>
    <n v="0.76142857142857145"/>
    <n v="5.33"/>
    <n v="6.16"/>
    <n v="3.5110000000000001"/>
    <n v="0.46388163620539602"/>
    <x v="3"/>
    <n v="4.2300000000000004"/>
  </r>
  <r>
    <d v="2025-05-19T00:00:00"/>
    <s v="May"/>
    <n v="21"/>
    <x v="5"/>
    <n v="1.87"/>
    <n v="1.24"/>
    <n v="5"/>
    <n v="7"/>
    <n v="0.76142857142857145"/>
    <n v="5.33"/>
    <n v="6.16"/>
    <n v="3.5110000000000001"/>
    <n v="0.46388163620539602"/>
    <x v="4"/>
    <n v="0.06"/>
  </r>
  <r>
    <d v="2025-05-20T00:00:00"/>
    <s v="May"/>
    <n v="21"/>
    <x v="6"/>
    <n v="1.1299999999999999"/>
    <n v="1.65"/>
    <n v="10"/>
    <n v="7"/>
    <n v="0.99428571428571444"/>
    <n v="6.9600000000000009"/>
    <n v="6.17"/>
    <n v="3.0390000000000006"/>
    <n v="0.53008377760853009"/>
    <x v="0"/>
    <n v="4.6500000000000004"/>
  </r>
  <r>
    <d v="2025-05-20T00:00:00"/>
    <s v="May"/>
    <n v="21"/>
    <x v="6"/>
    <n v="1.1299999999999999"/>
    <n v="1.65"/>
    <n v="10"/>
    <n v="7"/>
    <n v="0.99428571428571444"/>
    <n v="6.9600000000000009"/>
    <n v="6.17"/>
    <n v="3.0390000000000006"/>
    <n v="0.53008377760853009"/>
    <x v="1"/>
    <n v="5.17"/>
  </r>
  <r>
    <d v="2025-05-20T00:00:00"/>
    <s v="May"/>
    <n v="21"/>
    <x v="6"/>
    <n v="1.1299999999999999"/>
    <n v="1.65"/>
    <n v="10"/>
    <n v="7"/>
    <n v="0.99428571428571444"/>
    <n v="6.9600000000000009"/>
    <n v="6.17"/>
    <n v="3.0390000000000006"/>
    <n v="0.53008377760853009"/>
    <x v="2"/>
    <n v="0.66"/>
  </r>
  <r>
    <d v="2025-05-20T00:00:00"/>
    <s v="May"/>
    <n v="21"/>
    <x v="6"/>
    <n v="1.1299999999999999"/>
    <n v="1.65"/>
    <n v="10"/>
    <n v="7"/>
    <n v="0.99428571428571444"/>
    <n v="6.9600000000000009"/>
    <n v="6.17"/>
    <n v="3.0390000000000006"/>
    <n v="0.53008377760853009"/>
    <x v="3"/>
    <n v="3.8"/>
  </r>
  <r>
    <d v="2025-05-20T00:00:00"/>
    <s v="May"/>
    <n v="21"/>
    <x v="6"/>
    <n v="1.1299999999999999"/>
    <n v="1.65"/>
    <n v="10"/>
    <n v="7"/>
    <n v="0.99428571428571444"/>
    <n v="6.9600000000000009"/>
    <n v="6.17"/>
    <n v="3.0390000000000006"/>
    <n v="0.53008377760853009"/>
    <x v="4"/>
    <n v="1.24"/>
  </r>
  <r>
    <d v="2025-05-21T00:00:00"/>
    <s v="May"/>
    <n v="21"/>
    <x v="0"/>
    <n v="1.88"/>
    <n v="0.76"/>
    <n v="6"/>
    <n v="7"/>
    <n v="1"/>
    <n v="7.06"/>
    <n v="5.37"/>
    <n v="4.2859999999999996"/>
    <n v="0.56798069187449718"/>
    <x v="0"/>
    <n v="4.3499999999999996"/>
  </r>
  <r>
    <d v="2025-05-21T00:00:00"/>
    <s v="May"/>
    <n v="21"/>
    <x v="0"/>
    <n v="1.88"/>
    <n v="0.76"/>
    <n v="6"/>
    <n v="7"/>
    <n v="1"/>
    <n v="7.06"/>
    <n v="5.37"/>
    <n v="4.2859999999999996"/>
    <n v="0.56798069187449718"/>
    <x v="1"/>
    <n v="8.35"/>
  </r>
  <r>
    <d v="2025-05-21T00:00:00"/>
    <s v="May"/>
    <n v="21"/>
    <x v="0"/>
    <n v="1.88"/>
    <n v="0.76"/>
    <n v="6"/>
    <n v="7"/>
    <n v="1"/>
    <n v="7.06"/>
    <n v="5.37"/>
    <n v="4.2859999999999996"/>
    <n v="0.56798069187449718"/>
    <x v="2"/>
    <n v="1.95"/>
  </r>
  <r>
    <d v="2025-05-21T00:00:00"/>
    <s v="May"/>
    <n v="21"/>
    <x v="0"/>
    <n v="1.88"/>
    <n v="0.76"/>
    <n v="6"/>
    <n v="7"/>
    <n v="1"/>
    <n v="7.06"/>
    <n v="5.37"/>
    <n v="4.2859999999999996"/>
    <n v="0.56798069187449718"/>
    <x v="3"/>
    <n v="1.2"/>
  </r>
  <r>
    <d v="2025-05-21T00:00:00"/>
    <s v="May"/>
    <n v="21"/>
    <x v="0"/>
    <n v="1.88"/>
    <n v="0.76"/>
    <n v="6"/>
    <n v="7"/>
    <n v="1"/>
    <n v="7.06"/>
    <n v="5.37"/>
    <n v="4.2859999999999996"/>
    <n v="0.56798069187449718"/>
    <x v="4"/>
    <n v="2.29"/>
  </r>
  <r>
    <d v="2025-05-22T00:00:00"/>
    <s v="May"/>
    <n v="21"/>
    <x v="1"/>
    <n v="0.5"/>
    <n v="1.84"/>
    <n v="9"/>
    <n v="7"/>
    <n v="1"/>
    <n v="7.1"/>
    <n v="4.9399999999999995"/>
    <n v="3.1880000000000002"/>
    <n v="0.5897009966777409"/>
    <x v="0"/>
    <n v="4.17"/>
  </r>
  <r>
    <d v="2025-05-22T00:00:00"/>
    <s v="May"/>
    <n v="21"/>
    <x v="1"/>
    <n v="0.5"/>
    <n v="1.84"/>
    <n v="9"/>
    <n v="7"/>
    <n v="1"/>
    <n v="7.1"/>
    <n v="4.9399999999999995"/>
    <n v="3.1880000000000002"/>
    <n v="0.5897009966777409"/>
    <x v="1"/>
    <n v="5.82"/>
  </r>
  <r>
    <d v="2025-05-22T00:00:00"/>
    <s v="May"/>
    <n v="21"/>
    <x v="1"/>
    <n v="0.5"/>
    <n v="1.84"/>
    <n v="9"/>
    <n v="7"/>
    <n v="1"/>
    <n v="7.1"/>
    <n v="4.9399999999999995"/>
    <n v="3.1880000000000002"/>
    <n v="0.5897009966777409"/>
    <x v="2"/>
    <n v="1.0900000000000001"/>
  </r>
  <r>
    <d v="2025-05-22T00:00:00"/>
    <s v="May"/>
    <n v="21"/>
    <x v="1"/>
    <n v="0.5"/>
    <n v="1.84"/>
    <n v="9"/>
    <n v="7"/>
    <n v="1"/>
    <n v="7.1"/>
    <n v="4.9399999999999995"/>
    <n v="3.1880000000000002"/>
    <n v="0.5897009966777409"/>
    <x v="3"/>
    <n v="1.5"/>
  </r>
  <r>
    <d v="2025-05-22T00:00:00"/>
    <s v="May"/>
    <n v="21"/>
    <x v="1"/>
    <n v="0.5"/>
    <n v="1.84"/>
    <n v="9"/>
    <n v="7"/>
    <n v="1"/>
    <n v="7.1"/>
    <n v="4.9399999999999995"/>
    <n v="3.1880000000000002"/>
    <n v="0.5897009966777409"/>
    <x v="4"/>
    <n v="2.94"/>
  </r>
  <r>
    <d v="2025-05-23T00:00:00"/>
    <s v="May"/>
    <n v="21"/>
    <x v="2"/>
    <n v="1.45"/>
    <n v="0.75"/>
    <n v="8"/>
    <n v="7"/>
    <n v="0.97714285714285709"/>
    <n v="6.84"/>
    <n v="5.5200000000000005"/>
    <n v="4.0389999999999997"/>
    <n v="0.55339805825242716"/>
    <x v="0"/>
    <n v="5.67"/>
  </r>
  <r>
    <d v="2025-05-23T00:00:00"/>
    <s v="May"/>
    <n v="21"/>
    <x v="2"/>
    <n v="1.45"/>
    <n v="0.75"/>
    <n v="8"/>
    <n v="7"/>
    <n v="0.97714285714285709"/>
    <n v="6.84"/>
    <n v="5.5200000000000005"/>
    <n v="4.0389999999999997"/>
    <n v="0.55339805825242716"/>
    <x v="1"/>
    <n v="6.98"/>
  </r>
  <r>
    <d v="2025-05-23T00:00:00"/>
    <s v="May"/>
    <n v="21"/>
    <x v="2"/>
    <n v="1.45"/>
    <n v="0.75"/>
    <n v="8"/>
    <n v="7"/>
    <n v="0.97714285714285709"/>
    <n v="6.84"/>
    <n v="5.5200000000000005"/>
    <n v="4.0389999999999997"/>
    <n v="0.55339805825242716"/>
    <x v="2"/>
    <n v="0.42"/>
  </r>
  <r>
    <d v="2025-05-23T00:00:00"/>
    <s v="May"/>
    <n v="21"/>
    <x v="2"/>
    <n v="1.45"/>
    <n v="0.75"/>
    <n v="8"/>
    <n v="7"/>
    <n v="0.97714285714285709"/>
    <n v="6.84"/>
    <n v="5.5200000000000005"/>
    <n v="4.0389999999999997"/>
    <n v="0.55339805825242716"/>
    <x v="3"/>
    <n v="1.88"/>
  </r>
  <r>
    <d v="2025-05-23T00:00:00"/>
    <s v="May"/>
    <n v="21"/>
    <x v="2"/>
    <n v="1.45"/>
    <n v="0.75"/>
    <n v="8"/>
    <n v="7"/>
    <n v="0.97714285714285709"/>
    <n v="6.84"/>
    <n v="5.5200000000000005"/>
    <n v="4.0389999999999997"/>
    <n v="0.55339805825242716"/>
    <x v="4"/>
    <n v="2.19"/>
  </r>
  <r>
    <d v="2025-05-24T00:00:00"/>
    <s v="May"/>
    <n v="21"/>
    <x v="3"/>
    <n v="0.45"/>
    <n v="0.31"/>
    <n v="9"/>
    <n v="5"/>
    <n v="1"/>
    <n v="6.2"/>
    <n v="6.37"/>
    <n v="3.4600000000000004"/>
    <n v="0.49323786793953861"/>
    <x v="0"/>
    <n v="4.2300000000000004"/>
  </r>
  <r>
    <d v="2025-05-24T00:00:00"/>
    <s v="May"/>
    <n v="21"/>
    <x v="3"/>
    <n v="0.45"/>
    <n v="0.31"/>
    <n v="9"/>
    <n v="5"/>
    <n v="1"/>
    <n v="6.2"/>
    <n v="6.37"/>
    <n v="3.4600000000000004"/>
    <n v="0.49323786793953861"/>
    <x v="1"/>
    <n v="6.76"/>
  </r>
  <r>
    <d v="2025-05-24T00:00:00"/>
    <s v="May"/>
    <n v="21"/>
    <x v="3"/>
    <n v="0.45"/>
    <n v="0.31"/>
    <n v="9"/>
    <n v="5"/>
    <n v="1"/>
    <n v="6.2"/>
    <n v="6.37"/>
    <n v="3.4600000000000004"/>
    <n v="0.49323786793953861"/>
    <x v="2"/>
    <n v="1.66"/>
  </r>
  <r>
    <d v="2025-05-24T00:00:00"/>
    <s v="May"/>
    <n v="21"/>
    <x v="3"/>
    <n v="0.45"/>
    <n v="0.31"/>
    <n v="9"/>
    <n v="5"/>
    <n v="1"/>
    <n v="6.2"/>
    <n v="6.37"/>
    <n v="3.4600000000000004"/>
    <n v="0.49323786793953861"/>
    <x v="3"/>
    <n v="3.38"/>
  </r>
  <r>
    <d v="2025-05-24T00:00:00"/>
    <s v="May"/>
    <n v="21"/>
    <x v="3"/>
    <n v="0.45"/>
    <n v="0.31"/>
    <n v="9"/>
    <n v="5"/>
    <n v="1"/>
    <n v="6.2"/>
    <n v="6.37"/>
    <n v="3.4600000000000004"/>
    <n v="0.49323786793953861"/>
    <x v="4"/>
    <n v="2.54"/>
  </r>
  <r>
    <d v="2025-05-25T00:00:00"/>
    <s v="May"/>
    <n v="21"/>
    <x v="4"/>
    <n v="0.45"/>
    <n v="1.68"/>
    <n v="6"/>
    <n v="5"/>
    <n v="0.82799999999999996"/>
    <n v="4.1399999999999997"/>
    <n v="4.43"/>
    <n v="2.7440000000000002"/>
    <n v="0.48308051341890312"/>
    <x v="0"/>
    <n v="1.64"/>
  </r>
  <r>
    <d v="2025-05-25T00:00:00"/>
    <s v="May"/>
    <n v="21"/>
    <x v="4"/>
    <n v="0.45"/>
    <n v="1.68"/>
    <n v="6"/>
    <n v="5"/>
    <n v="0.82799999999999996"/>
    <n v="4.1399999999999997"/>
    <n v="4.43"/>
    <n v="2.7440000000000002"/>
    <n v="0.48308051341890312"/>
    <x v="1"/>
    <n v="7.74"/>
  </r>
  <r>
    <d v="2025-05-25T00:00:00"/>
    <s v="May"/>
    <n v="21"/>
    <x v="4"/>
    <n v="0.45"/>
    <n v="1.68"/>
    <n v="6"/>
    <n v="5"/>
    <n v="0.82799999999999996"/>
    <n v="4.1399999999999997"/>
    <n v="4.43"/>
    <n v="2.7440000000000002"/>
    <n v="0.48308051341890312"/>
    <x v="2"/>
    <n v="0.82"/>
  </r>
  <r>
    <d v="2025-05-25T00:00:00"/>
    <s v="May"/>
    <n v="21"/>
    <x v="4"/>
    <n v="0.45"/>
    <n v="1.68"/>
    <n v="6"/>
    <n v="5"/>
    <n v="0.82799999999999996"/>
    <n v="4.1399999999999997"/>
    <n v="4.43"/>
    <n v="2.7440000000000002"/>
    <n v="0.48308051341890312"/>
    <x v="3"/>
    <n v="3.44"/>
  </r>
  <r>
    <d v="2025-05-25T00:00:00"/>
    <s v="May"/>
    <n v="21"/>
    <x v="4"/>
    <n v="0.45"/>
    <n v="1.68"/>
    <n v="6"/>
    <n v="5"/>
    <n v="0.82799999999999996"/>
    <n v="4.1399999999999997"/>
    <n v="4.43"/>
    <n v="2.7440000000000002"/>
    <n v="0.48308051341890312"/>
    <x v="4"/>
    <n v="0.54"/>
  </r>
  <r>
    <d v="2025-05-26T00:00:00"/>
    <s v="May"/>
    <n v="22"/>
    <x v="5"/>
    <n v="0.28000000000000003"/>
    <n v="1.47"/>
    <n v="6"/>
    <n v="7"/>
    <n v="0.6657142857142857"/>
    <n v="4.66"/>
    <n v="5.95"/>
    <n v="2.48"/>
    <n v="0.43920829406220552"/>
    <x v="0"/>
    <n v="2.85"/>
  </r>
  <r>
    <d v="2025-05-26T00:00:00"/>
    <s v="May"/>
    <n v="22"/>
    <x v="5"/>
    <n v="0.28000000000000003"/>
    <n v="1.47"/>
    <n v="6"/>
    <n v="7"/>
    <n v="0.6657142857142857"/>
    <n v="4.66"/>
    <n v="5.95"/>
    <n v="2.48"/>
    <n v="0.43920829406220552"/>
    <x v="1"/>
    <n v="6.13"/>
  </r>
  <r>
    <d v="2025-05-26T00:00:00"/>
    <s v="May"/>
    <n v="22"/>
    <x v="5"/>
    <n v="0.28000000000000003"/>
    <n v="1.47"/>
    <n v="6"/>
    <n v="7"/>
    <n v="0.6657142857142857"/>
    <n v="4.66"/>
    <n v="5.95"/>
    <n v="2.48"/>
    <n v="0.43920829406220552"/>
    <x v="2"/>
    <n v="0.34"/>
  </r>
  <r>
    <d v="2025-05-26T00:00:00"/>
    <s v="May"/>
    <n v="22"/>
    <x v="5"/>
    <n v="0.28000000000000003"/>
    <n v="1.47"/>
    <n v="6"/>
    <n v="7"/>
    <n v="0.6657142857142857"/>
    <n v="4.66"/>
    <n v="5.95"/>
    <n v="2.48"/>
    <n v="0.43920829406220552"/>
    <x v="3"/>
    <n v="3.18"/>
  </r>
  <r>
    <d v="2025-05-26T00:00:00"/>
    <s v="May"/>
    <n v="22"/>
    <x v="5"/>
    <n v="0.28000000000000003"/>
    <n v="1.47"/>
    <n v="6"/>
    <n v="7"/>
    <n v="0.6657142857142857"/>
    <n v="4.66"/>
    <n v="5.95"/>
    <n v="2.48"/>
    <n v="0.43920829406220552"/>
    <x v="4"/>
    <n v="2.4900000000000002"/>
  </r>
  <r>
    <d v="2025-05-27T00:00:00"/>
    <s v="May"/>
    <n v="22"/>
    <x v="6"/>
    <n v="1.7"/>
    <n v="1.84"/>
    <n v="7"/>
    <n v="7"/>
    <n v="0.79571428571428571"/>
    <n v="5.57"/>
    <n v="6.62"/>
    <n v="3.6130000000000004"/>
    <n v="0.45693191140278916"/>
    <x v="0"/>
    <n v="3.46"/>
  </r>
  <r>
    <d v="2025-05-27T00:00:00"/>
    <s v="May"/>
    <n v="22"/>
    <x v="6"/>
    <n v="1.7"/>
    <n v="1.84"/>
    <n v="7"/>
    <n v="7"/>
    <n v="0.79571428571428571"/>
    <n v="5.57"/>
    <n v="6.62"/>
    <n v="3.6130000000000004"/>
    <n v="0.45693191140278916"/>
    <x v="1"/>
    <n v="8.89"/>
  </r>
  <r>
    <d v="2025-05-27T00:00:00"/>
    <s v="May"/>
    <n v="22"/>
    <x v="6"/>
    <n v="1.7"/>
    <n v="1.84"/>
    <n v="7"/>
    <n v="7"/>
    <n v="0.79571428571428571"/>
    <n v="5.57"/>
    <n v="6.62"/>
    <n v="3.6130000000000004"/>
    <n v="0.45693191140278916"/>
    <x v="2"/>
    <n v="0.27"/>
  </r>
  <r>
    <d v="2025-05-27T00:00:00"/>
    <s v="May"/>
    <n v="22"/>
    <x v="6"/>
    <n v="1.7"/>
    <n v="1.84"/>
    <n v="7"/>
    <n v="7"/>
    <n v="0.79571428571428571"/>
    <n v="5.57"/>
    <n v="6.62"/>
    <n v="3.6130000000000004"/>
    <n v="0.45693191140278916"/>
    <x v="3"/>
    <n v="2.1"/>
  </r>
  <r>
    <d v="2025-05-27T00:00:00"/>
    <s v="May"/>
    <n v="22"/>
    <x v="6"/>
    <n v="1.7"/>
    <n v="1.84"/>
    <n v="7"/>
    <n v="7"/>
    <n v="0.79571428571428571"/>
    <n v="5.57"/>
    <n v="6.62"/>
    <n v="3.6130000000000004"/>
    <n v="0.45693191140278916"/>
    <x v="4"/>
    <n v="2.82"/>
  </r>
  <r>
    <d v="2025-05-28T00:00:00"/>
    <s v="May"/>
    <n v="22"/>
    <x v="0"/>
    <n v="1.22"/>
    <n v="2"/>
    <n v="2"/>
    <n v="7"/>
    <n v="1"/>
    <n v="7.6400000000000006"/>
    <n v="6.6499999999999995"/>
    <n v="3.5670000000000002"/>
    <n v="0.53463960811756484"/>
    <x v="0"/>
    <n v="3.99"/>
  </r>
  <r>
    <d v="2025-05-28T00:00:00"/>
    <s v="May"/>
    <n v="22"/>
    <x v="0"/>
    <n v="1.22"/>
    <n v="2"/>
    <n v="2"/>
    <n v="7"/>
    <n v="1"/>
    <n v="7.6400000000000006"/>
    <n v="6.6499999999999995"/>
    <n v="3.5670000000000002"/>
    <n v="0.53463960811756484"/>
    <x v="1"/>
    <n v="7.28"/>
  </r>
  <r>
    <d v="2025-05-28T00:00:00"/>
    <s v="May"/>
    <n v="22"/>
    <x v="0"/>
    <n v="1.22"/>
    <n v="2"/>
    <n v="2"/>
    <n v="7"/>
    <n v="1"/>
    <n v="7.6400000000000006"/>
    <n v="6.6499999999999995"/>
    <n v="3.5670000000000002"/>
    <n v="0.53463960811756484"/>
    <x v="2"/>
    <n v="1.65"/>
  </r>
  <r>
    <d v="2025-05-28T00:00:00"/>
    <s v="May"/>
    <n v="22"/>
    <x v="0"/>
    <n v="1.22"/>
    <n v="2"/>
    <n v="2"/>
    <n v="7"/>
    <n v="1"/>
    <n v="7.6400000000000006"/>
    <n v="6.6499999999999995"/>
    <n v="3.5670000000000002"/>
    <n v="0.53463960811756484"/>
    <x v="3"/>
    <n v="3.01"/>
  </r>
  <r>
    <d v="2025-05-28T00:00:00"/>
    <s v="May"/>
    <n v="22"/>
    <x v="0"/>
    <n v="1.22"/>
    <n v="2"/>
    <n v="2"/>
    <n v="7"/>
    <n v="1"/>
    <n v="7.6400000000000006"/>
    <n v="6.6499999999999995"/>
    <n v="3.5670000000000002"/>
    <n v="0.53463960811756484"/>
    <x v="4"/>
    <n v="2.42"/>
  </r>
  <r>
    <d v="2025-05-29T00:00:00"/>
    <s v="May"/>
    <n v="22"/>
    <x v="1"/>
    <n v="1.76"/>
    <n v="1.57"/>
    <n v="8"/>
    <n v="7"/>
    <n v="0.80285714285714282"/>
    <n v="5.62"/>
    <n v="3.17"/>
    <n v="3.7130000000000001"/>
    <n v="0.63936291240045517"/>
    <x v="0"/>
    <n v="2.62"/>
  </r>
  <r>
    <d v="2025-05-29T00:00:00"/>
    <s v="May"/>
    <n v="22"/>
    <x v="1"/>
    <n v="1.76"/>
    <n v="1.57"/>
    <n v="8"/>
    <n v="7"/>
    <n v="0.80285714285714282"/>
    <n v="5.62"/>
    <n v="3.17"/>
    <n v="3.7130000000000001"/>
    <n v="0.63936291240045517"/>
    <x v="1"/>
    <n v="8.4"/>
  </r>
  <r>
    <d v="2025-05-29T00:00:00"/>
    <s v="May"/>
    <n v="22"/>
    <x v="1"/>
    <n v="1.76"/>
    <n v="1.57"/>
    <n v="8"/>
    <n v="7"/>
    <n v="0.80285714285714282"/>
    <n v="5.62"/>
    <n v="3.17"/>
    <n v="3.7130000000000001"/>
    <n v="0.63936291240045517"/>
    <x v="2"/>
    <n v="1.43"/>
  </r>
  <r>
    <d v="2025-05-29T00:00:00"/>
    <s v="May"/>
    <n v="22"/>
    <x v="1"/>
    <n v="1.76"/>
    <n v="1.57"/>
    <n v="8"/>
    <n v="7"/>
    <n v="0.80285714285714282"/>
    <n v="5.62"/>
    <n v="3.17"/>
    <n v="3.7130000000000001"/>
    <n v="0.63936291240045517"/>
    <x v="3"/>
    <n v="1.03"/>
  </r>
  <r>
    <d v="2025-05-29T00:00:00"/>
    <s v="May"/>
    <n v="22"/>
    <x v="1"/>
    <n v="1.76"/>
    <n v="1.57"/>
    <n v="8"/>
    <n v="7"/>
    <n v="0.80285714285714282"/>
    <n v="5.62"/>
    <n v="3.17"/>
    <n v="3.7130000000000001"/>
    <n v="0.63936291240045517"/>
    <x v="4"/>
    <n v="0.38"/>
  </r>
  <r>
    <d v="2025-05-30T00:00:00"/>
    <s v="May"/>
    <n v="22"/>
    <x v="2"/>
    <n v="1.38"/>
    <n v="0.88"/>
    <n v="8"/>
    <n v="7"/>
    <n v="0.81142857142857139"/>
    <n v="5.68"/>
    <n v="6.62"/>
    <n v="3.1539999999999999"/>
    <n v="0.46178861788617881"/>
    <x v="0"/>
    <n v="3.15"/>
  </r>
  <r>
    <d v="2025-05-30T00:00:00"/>
    <s v="May"/>
    <n v="22"/>
    <x v="2"/>
    <n v="1.38"/>
    <n v="0.88"/>
    <n v="8"/>
    <n v="7"/>
    <n v="0.81142857142857139"/>
    <n v="5.68"/>
    <n v="6.62"/>
    <n v="3.1539999999999999"/>
    <n v="0.46178861788617881"/>
    <x v="1"/>
    <n v="6.96"/>
  </r>
  <r>
    <d v="2025-05-30T00:00:00"/>
    <s v="May"/>
    <n v="22"/>
    <x v="2"/>
    <n v="1.38"/>
    <n v="0.88"/>
    <n v="8"/>
    <n v="7"/>
    <n v="0.81142857142857139"/>
    <n v="5.68"/>
    <n v="6.62"/>
    <n v="3.1539999999999999"/>
    <n v="0.46178861788617881"/>
    <x v="2"/>
    <n v="1.65"/>
  </r>
  <r>
    <d v="2025-05-30T00:00:00"/>
    <s v="May"/>
    <n v="22"/>
    <x v="2"/>
    <n v="1.38"/>
    <n v="0.88"/>
    <n v="8"/>
    <n v="7"/>
    <n v="0.81142857142857139"/>
    <n v="5.68"/>
    <n v="6.62"/>
    <n v="3.1539999999999999"/>
    <n v="0.46178861788617881"/>
    <x v="3"/>
    <n v="3.77"/>
  </r>
  <r>
    <d v="2025-05-30T00:00:00"/>
    <s v="May"/>
    <n v="22"/>
    <x v="2"/>
    <n v="1.38"/>
    <n v="0.88"/>
    <n v="8"/>
    <n v="7"/>
    <n v="0.81142857142857139"/>
    <n v="5.68"/>
    <n v="6.62"/>
    <n v="3.1539999999999999"/>
    <n v="0.46178861788617881"/>
    <x v="4"/>
    <n v="1.47"/>
  </r>
  <r>
    <d v="2025-05-31T00:00:00"/>
    <s v="May"/>
    <n v="22"/>
    <x v="3"/>
    <n v="0.95"/>
    <n v="1.34"/>
    <n v="2"/>
    <n v="5"/>
    <n v="1"/>
    <n v="8.2099999999999991"/>
    <n v="5.92"/>
    <n v="3.5540000000000003"/>
    <n v="0.581033262561925"/>
    <x v="0"/>
    <n v="5.27"/>
  </r>
  <r>
    <d v="2025-05-31T00:00:00"/>
    <s v="May"/>
    <n v="22"/>
    <x v="3"/>
    <n v="0.95"/>
    <n v="1.34"/>
    <n v="2"/>
    <n v="5"/>
    <n v="1"/>
    <n v="8.2099999999999991"/>
    <n v="5.92"/>
    <n v="3.5540000000000003"/>
    <n v="0.581033262561925"/>
    <x v="1"/>
    <n v="5.41"/>
  </r>
  <r>
    <d v="2025-05-31T00:00:00"/>
    <s v="May"/>
    <n v="22"/>
    <x v="3"/>
    <n v="0.95"/>
    <n v="1.34"/>
    <n v="2"/>
    <n v="5"/>
    <n v="1"/>
    <n v="8.2099999999999991"/>
    <n v="5.92"/>
    <n v="3.5540000000000003"/>
    <n v="0.581033262561925"/>
    <x v="2"/>
    <n v="1.6"/>
  </r>
  <r>
    <d v="2025-05-31T00:00:00"/>
    <s v="May"/>
    <n v="22"/>
    <x v="3"/>
    <n v="0.95"/>
    <n v="1.34"/>
    <n v="2"/>
    <n v="5"/>
    <n v="1"/>
    <n v="8.2099999999999991"/>
    <n v="5.92"/>
    <n v="3.5540000000000003"/>
    <n v="0.581033262561925"/>
    <x v="3"/>
    <n v="4.84"/>
  </r>
  <r>
    <d v="2025-05-31T00:00:00"/>
    <s v="May"/>
    <n v="22"/>
    <x v="3"/>
    <n v="0.95"/>
    <n v="1.34"/>
    <n v="2"/>
    <n v="5"/>
    <n v="1"/>
    <n v="8.2099999999999991"/>
    <n v="5.92"/>
    <n v="3.5540000000000003"/>
    <n v="0.581033262561925"/>
    <x v="4"/>
    <n v="0.13"/>
  </r>
  <r>
    <d v="2025-06-01T00:00:00"/>
    <s v="June"/>
    <n v="22"/>
    <x v="4"/>
    <n v="0.95"/>
    <n v="0.72"/>
    <n v="4"/>
    <n v="5"/>
    <n v="0.76400000000000001"/>
    <n v="3.8200000000000003"/>
    <n v="3.3600000000000003"/>
    <n v="3.2209999999999996"/>
    <n v="0.53203342618384397"/>
    <x v="0"/>
    <n v="2.27"/>
  </r>
  <r>
    <d v="2025-06-01T00:00:00"/>
    <s v="June"/>
    <n v="22"/>
    <x v="4"/>
    <n v="0.95"/>
    <n v="0.72"/>
    <n v="4"/>
    <n v="5"/>
    <n v="0.76400000000000001"/>
    <n v="3.8200000000000003"/>
    <n v="3.3600000000000003"/>
    <n v="3.2209999999999996"/>
    <n v="0.53203342618384397"/>
    <x v="1"/>
    <n v="7.96"/>
  </r>
  <r>
    <d v="2025-06-01T00:00:00"/>
    <s v="June"/>
    <n v="22"/>
    <x v="4"/>
    <n v="0.95"/>
    <n v="0.72"/>
    <n v="4"/>
    <n v="5"/>
    <n v="0.76400000000000001"/>
    <n v="3.8200000000000003"/>
    <n v="3.3600000000000003"/>
    <n v="3.2209999999999996"/>
    <n v="0.53203342618384397"/>
    <x v="2"/>
    <n v="0.83"/>
  </r>
  <r>
    <d v="2025-06-01T00:00:00"/>
    <s v="June"/>
    <n v="22"/>
    <x v="4"/>
    <n v="0.95"/>
    <n v="0.72"/>
    <n v="4"/>
    <n v="5"/>
    <n v="0.76400000000000001"/>
    <n v="3.8200000000000003"/>
    <n v="3.3600000000000003"/>
    <n v="3.2209999999999996"/>
    <n v="0.53203342618384397"/>
    <x v="3"/>
    <n v="1.63"/>
  </r>
  <r>
    <d v="2025-06-01T00:00:00"/>
    <s v="June"/>
    <n v="22"/>
    <x v="4"/>
    <n v="0.95"/>
    <n v="0.72"/>
    <n v="4"/>
    <n v="5"/>
    <n v="0.76400000000000001"/>
    <n v="3.8200000000000003"/>
    <n v="3.3600000000000003"/>
    <n v="3.2209999999999996"/>
    <n v="0.53203342618384397"/>
    <x v="4"/>
    <n v="0.78"/>
  </r>
  <r>
    <d v="2025-06-02T00:00:00"/>
    <s v="June"/>
    <n v="23"/>
    <x v="5"/>
    <n v="0.63"/>
    <n v="0.23"/>
    <n v="4"/>
    <n v="7"/>
    <n v="0.64857142857142869"/>
    <n v="4.5400000000000009"/>
    <n v="7.45"/>
    <n v="3.0589999999999997"/>
    <n v="0.3786488740617181"/>
    <x v="0"/>
    <n v="4.24"/>
  </r>
  <r>
    <d v="2025-06-02T00:00:00"/>
    <s v="June"/>
    <n v="23"/>
    <x v="5"/>
    <n v="0.63"/>
    <n v="0.23"/>
    <n v="4"/>
    <n v="7"/>
    <n v="0.64857142857142869"/>
    <n v="4.5400000000000009"/>
    <n v="7.45"/>
    <n v="3.0589999999999997"/>
    <n v="0.3786488740617181"/>
    <x v="1"/>
    <n v="6.77"/>
  </r>
  <r>
    <d v="2025-06-02T00:00:00"/>
    <s v="June"/>
    <n v="23"/>
    <x v="5"/>
    <n v="0.63"/>
    <n v="0.23"/>
    <n v="4"/>
    <n v="7"/>
    <n v="0.64857142857142869"/>
    <n v="4.5400000000000009"/>
    <n v="7.45"/>
    <n v="3.0589999999999997"/>
    <n v="0.3786488740617181"/>
    <x v="2"/>
    <n v="7.0000000000000007E-2"/>
  </r>
  <r>
    <d v="2025-06-02T00:00:00"/>
    <s v="June"/>
    <n v="23"/>
    <x v="5"/>
    <n v="0.63"/>
    <n v="0.23"/>
    <n v="4"/>
    <n v="7"/>
    <n v="0.64857142857142869"/>
    <n v="4.5400000000000009"/>
    <n v="7.45"/>
    <n v="3.0589999999999997"/>
    <n v="0.3786488740617181"/>
    <x v="3"/>
    <n v="4.9000000000000004"/>
  </r>
  <r>
    <d v="2025-06-02T00:00:00"/>
    <s v="June"/>
    <n v="23"/>
    <x v="5"/>
    <n v="0.63"/>
    <n v="0.23"/>
    <n v="4"/>
    <n v="7"/>
    <n v="0.64857142857142869"/>
    <n v="4.5400000000000009"/>
    <n v="7.45"/>
    <n v="3.0589999999999997"/>
    <n v="0.3786488740617181"/>
    <x v="4"/>
    <n v="1.92"/>
  </r>
  <r>
    <d v="2025-06-03T00:00:00"/>
    <s v="June"/>
    <n v="23"/>
    <x v="6"/>
    <n v="0.28000000000000003"/>
    <n v="0.15"/>
    <n v="7"/>
    <n v="7"/>
    <n v="0.93857142857142861"/>
    <n v="6.57"/>
    <n v="5.5100000000000007"/>
    <n v="3.6699999999999995"/>
    <n v="0.54387417218543044"/>
    <x v="0"/>
    <n v="5.17"/>
  </r>
  <r>
    <d v="2025-06-03T00:00:00"/>
    <s v="June"/>
    <n v="23"/>
    <x v="6"/>
    <n v="0.28000000000000003"/>
    <n v="0.15"/>
    <n v="7"/>
    <n v="7"/>
    <n v="0.93857142857142861"/>
    <n v="6.57"/>
    <n v="5.5100000000000007"/>
    <n v="3.6699999999999995"/>
    <n v="0.54387417218543044"/>
    <x v="1"/>
    <n v="6.25"/>
  </r>
  <r>
    <d v="2025-06-03T00:00:00"/>
    <s v="June"/>
    <n v="23"/>
    <x v="6"/>
    <n v="0.28000000000000003"/>
    <n v="0.15"/>
    <n v="7"/>
    <n v="7"/>
    <n v="0.93857142857142861"/>
    <n v="6.57"/>
    <n v="5.5100000000000007"/>
    <n v="3.6699999999999995"/>
    <n v="0.54387417218543044"/>
    <x v="2"/>
    <n v="1.25"/>
  </r>
  <r>
    <d v="2025-06-03T00:00:00"/>
    <s v="June"/>
    <n v="23"/>
    <x v="6"/>
    <n v="0.28000000000000003"/>
    <n v="0.15"/>
    <n v="7"/>
    <n v="7"/>
    <n v="0.93857142857142861"/>
    <n v="6.57"/>
    <n v="5.5100000000000007"/>
    <n v="3.6699999999999995"/>
    <n v="0.54387417218543044"/>
    <x v="3"/>
    <n v="3.36"/>
  </r>
  <r>
    <d v="2025-06-03T00:00:00"/>
    <s v="June"/>
    <n v="23"/>
    <x v="6"/>
    <n v="0.28000000000000003"/>
    <n v="0.15"/>
    <n v="7"/>
    <n v="7"/>
    <n v="0.93857142857142861"/>
    <n v="6.57"/>
    <n v="5.5100000000000007"/>
    <n v="3.6699999999999995"/>
    <n v="0.54387417218543044"/>
    <x v="4"/>
    <n v="1.87"/>
  </r>
  <r>
    <d v="2025-06-04T00:00:00"/>
    <s v="June"/>
    <n v="23"/>
    <x v="0"/>
    <n v="1.84"/>
    <n v="1.93"/>
    <n v="7"/>
    <n v="7"/>
    <n v="1"/>
    <n v="8.44"/>
    <n v="7.21"/>
    <n v="3.3970000000000002"/>
    <n v="0.53929712460063894"/>
    <x v="0"/>
    <n v="5.21"/>
  </r>
  <r>
    <d v="2025-06-04T00:00:00"/>
    <s v="June"/>
    <n v="23"/>
    <x v="0"/>
    <n v="1.84"/>
    <n v="1.93"/>
    <n v="7"/>
    <n v="7"/>
    <n v="1"/>
    <n v="8.44"/>
    <n v="7.21"/>
    <n v="3.3970000000000002"/>
    <n v="0.53929712460063894"/>
    <x v="1"/>
    <n v="5.3"/>
  </r>
  <r>
    <d v="2025-06-04T00:00:00"/>
    <s v="June"/>
    <n v="23"/>
    <x v="0"/>
    <n v="1.84"/>
    <n v="1.93"/>
    <n v="7"/>
    <n v="7"/>
    <n v="1"/>
    <n v="8.44"/>
    <n v="7.21"/>
    <n v="3.3970000000000002"/>
    <n v="0.53929712460063894"/>
    <x v="2"/>
    <n v="1.3"/>
  </r>
  <r>
    <d v="2025-06-04T00:00:00"/>
    <s v="June"/>
    <n v="23"/>
    <x v="0"/>
    <n v="1.84"/>
    <n v="1.93"/>
    <n v="7"/>
    <n v="7"/>
    <n v="1"/>
    <n v="8.44"/>
    <n v="7.21"/>
    <n v="3.3970000000000002"/>
    <n v="0.53929712460063894"/>
    <x v="3"/>
    <n v="4.6900000000000004"/>
  </r>
  <r>
    <d v="2025-06-04T00:00:00"/>
    <s v="June"/>
    <n v="23"/>
    <x v="0"/>
    <n v="1.84"/>
    <n v="1.93"/>
    <n v="7"/>
    <n v="7"/>
    <n v="1"/>
    <n v="8.44"/>
    <n v="7.21"/>
    <n v="3.3970000000000002"/>
    <n v="0.53929712460063894"/>
    <x v="4"/>
    <n v="0.68"/>
  </r>
  <r>
    <d v="2025-06-05T00:00:00"/>
    <s v="June"/>
    <n v="23"/>
    <x v="1"/>
    <n v="1.32"/>
    <n v="0.01"/>
    <n v="1"/>
    <n v="7"/>
    <n v="0.56142857142857139"/>
    <n v="3.9299999999999997"/>
    <n v="5.63"/>
    <n v="3.1870000000000003"/>
    <n v="0.41108786610878661"/>
    <x v="0"/>
    <n v="2.62"/>
  </r>
  <r>
    <d v="2025-06-05T00:00:00"/>
    <s v="June"/>
    <n v="23"/>
    <x v="1"/>
    <n v="1.32"/>
    <n v="0.01"/>
    <n v="1"/>
    <n v="7"/>
    <n v="0.56142857142857139"/>
    <n v="3.9299999999999997"/>
    <n v="5.63"/>
    <n v="3.1870000000000003"/>
    <n v="0.41108786610878661"/>
    <x v="1"/>
    <n v="7.7"/>
  </r>
  <r>
    <d v="2025-06-05T00:00:00"/>
    <s v="June"/>
    <n v="23"/>
    <x v="1"/>
    <n v="1.32"/>
    <n v="0.01"/>
    <n v="1"/>
    <n v="7"/>
    <n v="0.56142857142857139"/>
    <n v="3.9299999999999997"/>
    <n v="5.63"/>
    <n v="3.1870000000000003"/>
    <n v="0.41108786610878661"/>
    <x v="2"/>
    <n v="1.3"/>
  </r>
  <r>
    <d v="2025-06-05T00:00:00"/>
    <s v="June"/>
    <n v="23"/>
    <x v="1"/>
    <n v="1.32"/>
    <n v="0.01"/>
    <n v="1"/>
    <n v="7"/>
    <n v="0.56142857142857139"/>
    <n v="3.9299999999999997"/>
    <n v="5.63"/>
    <n v="3.1870000000000003"/>
    <n v="0.41108786610878661"/>
    <x v="3"/>
    <n v="3.34"/>
  </r>
  <r>
    <d v="2025-06-05T00:00:00"/>
    <s v="June"/>
    <n v="23"/>
    <x v="1"/>
    <n v="1.32"/>
    <n v="0.01"/>
    <n v="1"/>
    <n v="7"/>
    <n v="0.56142857142857139"/>
    <n v="3.9299999999999997"/>
    <n v="5.63"/>
    <n v="3.1870000000000003"/>
    <n v="0.41108786610878661"/>
    <x v="4"/>
    <n v="0.97"/>
  </r>
  <r>
    <d v="2025-06-06T00:00:00"/>
    <s v="June"/>
    <n v="23"/>
    <x v="2"/>
    <n v="0.54"/>
    <n v="1.05"/>
    <n v="3"/>
    <n v="7"/>
    <n v="1"/>
    <n v="7.73"/>
    <n v="4.63"/>
    <n v="3.899"/>
    <n v="0.62540453074433666"/>
    <x v="0"/>
    <n v="5.62"/>
  </r>
  <r>
    <d v="2025-06-06T00:00:00"/>
    <s v="June"/>
    <n v="23"/>
    <x v="2"/>
    <n v="0.54"/>
    <n v="1.05"/>
    <n v="3"/>
    <n v="7"/>
    <n v="1"/>
    <n v="7.73"/>
    <n v="4.63"/>
    <n v="3.899"/>
    <n v="0.62540453074433666"/>
    <x v="1"/>
    <n v="6.16"/>
  </r>
  <r>
    <d v="2025-06-06T00:00:00"/>
    <s v="June"/>
    <n v="23"/>
    <x v="2"/>
    <n v="0.54"/>
    <n v="1.05"/>
    <n v="3"/>
    <n v="7"/>
    <n v="1"/>
    <n v="7.73"/>
    <n v="4.63"/>
    <n v="3.899"/>
    <n v="0.62540453074433666"/>
    <x v="2"/>
    <n v="1.06"/>
  </r>
  <r>
    <d v="2025-06-06T00:00:00"/>
    <s v="June"/>
    <n v="23"/>
    <x v="2"/>
    <n v="0.54"/>
    <n v="1.05"/>
    <n v="3"/>
    <n v="7"/>
    <n v="1"/>
    <n v="7.73"/>
    <n v="4.63"/>
    <n v="3.899"/>
    <n v="0.62540453074433666"/>
    <x v="3"/>
    <n v="3.69"/>
  </r>
  <r>
    <d v="2025-06-06T00:00:00"/>
    <s v="June"/>
    <n v="23"/>
    <x v="2"/>
    <n v="0.54"/>
    <n v="1.05"/>
    <n v="3"/>
    <n v="7"/>
    <n v="1"/>
    <n v="7.73"/>
    <n v="4.63"/>
    <n v="3.899"/>
    <n v="0.62540453074433666"/>
    <x v="4"/>
    <n v="0.4"/>
  </r>
  <r>
    <d v="2025-06-07T00:00:00"/>
    <s v="June"/>
    <n v="23"/>
    <x v="3"/>
    <n v="0.11"/>
    <n v="1.48"/>
    <n v="10"/>
    <n v="5"/>
    <n v="1"/>
    <n v="5.32"/>
    <n v="4.1700000000000008"/>
    <n v="2.641"/>
    <n v="0.56059009483667011"/>
    <x v="0"/>
    <n v="3.22"/>
  </r>
  <r>
    <d v="2025-06-07T00:00:00"/>
    <s v="June"/>
    <n v="23"/>
    <x v="3"/>
    <n v="0.11"/>
    <n v="1.48"/>
    <n v="10"/>
    <n v="5"/>
    <n v="1"/>
    <n v="5.32"/>
    <n v="4.1700000000000008"/>
    <n v="2.641"/>
    <n v="0.56059009483667011"/>
    <x v="1"/>
    <n v="5.45"/>
  </r>
  <r>
    <d v="2025-06-07T00:00:00"/>
    <s v="June"/>
    <n v="23"/>
    <x v="3"/>
    <n v="0.11"/>
    <n v="1.48"/>
    <n v="10"/>
    <n v="5"/>
    <n v="1"/>
    <n v="5.32"/>
    <n v="4.1700000000000008"/>
    <n v="2.641"/>
    <n v="0.56059009483667011"/>
    <x v="2"/>
    <n v="0.62"/>
  </r>
  <r>
    <d v="2025-06-07T00:00:00"/>
    <s v="June"/>
    <n v="23"/>
    <x v="3"/>
    <n v="0.11"/>
    <n v="1.48"/>
    <n v="10"/>
    <n v="5"/>
    <n v="1"/>
    <n v="5.32"/>
    <n v="4.1700000000000008"/>
    <n v="2.641"/>
    <n v="0.56059009483667011"/>
    <x v="3"/>
    <n v="2.12"/>
  </r>
  <r>
    <d v="2025-06-07T00:00:00"/>
    <s v="June"/>
    <n v="23"/>
    <x v="3"/>
    <n v="0.11"/>
    <n v="1.48"/>
    <n v="10"/>
    <n v="5"/>
    <n v="1"/>
    <n v="5.32"/>
    <n v="4.1700000000000008"/>
    <n v="2.641"/>
    <n v="0.56059009483667011"/>
    <x v="4"/>
    <n v="1.94"/>
  </r>
  <r>
    <d v="2025-06-08T00:00:00"/>
    <s v="June"/>
    <n v="23"/>
    <x v="4"/>
    <n v="1.43"/>
    <n v="0.37"/>
    <n v="4"/>
    <n v="5"/>
    <n v="1"/>
    <n v="7.51"/>
    <n v="8.17"/>
    <n v="4.4679999999999991"/>
    <n v="0.47895408163265307"/>
    <x v="0"/>
    <n v="5.97"/>
  </r>
  <r>
    <d v="2025-06-08T00:00:00"/>
    <s v="June"/>
    <n v="23"/>
    <x v="4"/>
    <n v="1.43"/>
    <n v="0.37"/>
    <n v="4"/>
    <n v="5"/>
    <n v="1"/>
    <n v="7.51"/>
    <n v="8.17"/>
    <n v="4.4679999999999991"/>
    <n v="0.47895408163265307"/>
    <x v="1"/>
    <n v="8.4"/>
  </r>
  <r>
    <d v="2025-06-08T00:00:00"/>
    <s v="June"/>
    <n v="23"/>
    <x v="4"/>
    <n v="1.43"/>
    <n v="0.37"/>
    <n v="4"/>
    <n v="5"/>
    <n v="1"/>
    <n v="7.51"/>
    <n v="8.17"/>
    <n v="4.4679999999999991"/>
    <n v="0.47895408163265307"/>
    <x v="2"/>
    <n v="1.17"/>
  </r>
  <r>
    <d v="2025-06-08T00:00:00"/>
    <s v="June"/>
    <n v="23"/>
    <x v="4"/>
    <n v="1.43"/>
    <n v="0.37"/>
    <n v="4"/>
    <n v="5"/>
    <n v="1"/>
    <n v="7.51"/>
    <n v="8.17"/>
    <n v="4.4679999999999991"/>
    <n v="0.47895408163265307"/>
    <x v="3"/>
    <n v="4.25"/>
  </r>
  <r>
    <d v="2025-06-08T00:00:00"/>
    <s v="June"/>
    <n v="23"/>
    <x v="4"/>
    <n v="1.43"/>
    <n v="0.37"/>
    <n v="4"/>
    <n v="5"/>
    <n v="1"/>
    <n v="7.51"/>
    <n v="8.17"/>
    <n v="4.4679999999999991"/>
    <n v="0.47895408163265307"/>
    <x v="4"/>
    <n v="2.4900000000000002"/>
  </r>
  <r>
    <d v="2025-06-09T00:00:00"/>
    <s v="June"/>
    <n v="24"/>
    <x v="5"/>
    <n v="1.48"/>
    <n v="1.85"/>
    <n v="10"/>
    <n v="7"/>
    <n v="1"/>
    <n v="7.84"/>
    <n v="3.46"/>
    <n v="4.1289999999999996"/>
    <n v="0.69380530973451326"/>
    <x v="0"/>
    <n v="4.68"/>
  </r>
  <r>
    <d v="2025-06-09T00:00:00"/>
    <s v="June"/>
    <n v="24"/>
    <x v="5"/>
    <n v="1.48"/>
    <n v="1.85"/>
    <n v="10"/>
    <n v="7"/>
    <n v="1"/>
    <n v="7.84"/>
    <n v="3.46"/>
    <n v="4.1289999999999996"/>
    <n v="0.69380530973451326"/>
    <x v="1"/>
    <n v="7.31"/>
  </r>
  <r>
    <d v="2025-06-09T00:00:00"/>
    <s v="June"/>
    <n v="24"/>
    <x v="5"/>
    <n v="1.48"/>
    <n v="1.85"/>
    <n v="10"/>
    <n v="7"/>
    <n v="1"/>
    <n v="7.84"/>
    <n v="3.46"/>
    <n v="4.1289999999999996"/>
    <n v="0.69380530973451326"/>
    <x v="2"/>
    <n v="1.31"/>
  </r>
  <r>
    <d v="2025-06-09T00:00:00"/>
    <s v="June"/>
    <n v="24"/>
    <x v="5"/>
    <n v="1.48"/>
    <n v="1.85"/>
    <n v="10"/>
    <n v="7"/>
    <n v="1"/>
    <n v="7.84"/>
    <n v="3.46"/>
    <n v="4.1289999999999996"/>
    <n v="0.69380530973451326"/>
    <x v="3"/>
    <n v="1.31"/>
  </r>
  <r>
    <d v="2025-06-09T00:00:00"/>
    <s v="June"/>
    <n v="24"/>
    <x v="5"/>
    <n v="1.48"/>
    <n v="1.85"/>
    <n v="10"/>
    <n v="7"/>
    <n v="1"/>
    <n v="7.84"/>
    <n v="3.46"/>
    <n v="4.1289999999999996"/>
    <n v="0.69380530973451326"/>
    <x v="4"/>
    <n v="0.67"/>
  </r>
  <r>
    <d v="2025-06-10T00:00:00"/>
    <s v="June"/>
    <n v="24"/>
    <x v="6"/>
    <n v="0.03"/>
    <n v="0.93"/>
    <n v="5"/>
    <n v="7"/>
    <n v="0.68142857142857149"/>
    <n v="4.7700000000000005"/>
    <n v="3.23"/>
    <n v="2.7150000000000003"/>
    <n v="0.59625000000000006"/>
    <x v="0"/>
    <n v="2.98"/>
  </r>
  <r>
    <d v="2025-06-10T00:00:00"/>
    <s v="June"/>
    <n v="24"/>
    <x v="6"/>
    <n v="0.03"/>
    <n v="0.93"/>
    <n v="5"/>
    <n v="7"/>
    <n v="0.68142857142857149"/>
    <n v="4.7700000000000005"/>
    <n v="3.23"/>
    <n v="2.7150000000000003"/>
    <n v="0.59625000000000006"/>
    <x v="1"/>
    <n v="5.57"/>
  </r>
  <r>
    <d v="2025-06-10T00:00:00"/>
    <s v="June"/>
    <n v="24"/>
    <x v="6"/>
    <n v="0.03"/>
    <n v="0.93"/>
    <n v="5"/>
    <n v="7"/>
    <n v="0.68142857142857149"/>
    <n v="4.7700000000000005"/>
    <n v="3.23"/>
    <n v="2.7150000000000003"/>
    <n v="0.59625000000000006"/>
    <x v="2"/>
    <n v="0.86"/>
  </r>
  <r>
    <d v="2025-06-10T00:00:00"/>
    <s v="June"/>
    <n v="24"/>
    <x v="6"/>
    <n v="0.03"/>
    <n v="0.93"/>
    <n v="5"/>
    <n v="7"/>
    <n v="0.68142857142857149"/>
    <n v="4.7700000000000005"/>
    <n v="3.23"/>
    <n v="2.7150000000000003"/>
    <n v="0.59625000000000006"/>
    <x v="3"/>
    <n v="1.39"/>
  </r>
  <r>
    <d v="2025-06-10T00:00:00"/>
    <s v="June"/>
    <n v="24"/>
    <x v="6"/>
    <n v="0.03"/>
    <n v="0.93"/>
    <n v="5"/>
    <n v="7"/>
    <n v="0.68142857142857149"/>
    <n v="4.7700000000000005"/>
    <n v="3.23"/>
    <n v="2.7150000000000003"/>
    <n v="0.59625000000000006"/>
    <x v="4"/>
    <n v="1.81"/>
  </r>
  <r>
    <d v="2025-06-11T00:00:00"/>
    <s v="June"/>
    <n v="24"/>
    <x v="0"/>
    <n v="0.66"/>
    <n v="0.35"/>
    <n v="1"/>
    <n v="7"/>
    <n v="1"/>
    <n v="7.0699999999999994"/>
    <n v="4.76"/>
    <n v="4.5910000000000002"/>
    <n v="0.59763313609467461"/>
    <x v="0"/>
    <n v="5.04"/>
  </r>
  <r>
    <d v="2025-06-11T00:00:00"/>
    <s v="June"/>
    <n v="24"/>
    <x v="0"/>
    <n v="0.66"/>
    <n v="0.35"/>
    <n v="1"/>
    <n v="7"/>
    <n v="1"/>
    <n v="7.0699999999999994"/>
    <n v="4.76"/>
    <n v="4.5910000000000002"/>
    <n v="0.59763313609467461"/>
    <x v="1"/>
    <n v="8.83"/>
  </r>
  <r>
    <d v="2025-06-11T00:00:00"/>
    <s v="June"/>
    <n v="24"/>
    <x v="0"/>
    <n v="0.66"/>
    <n v="0.35"/>
    <n v="1"/>
    <n v="7"/>
    <n v="1"/>
    <n v="7.0699999999999994"/>
    <n v="4.76"/>
    <n v="4.5910000000000002"/>
    <n v="0.59763313609467461"/>
    <x v="2"/>
    <n v="1.68"/>
  </r>
  <r>
    <d v="2025-06-11T00:00:00"/>
    <s v="June"/>
    <n v="24"/>
    <x v="0"/>
    <n v="0.66"/>
    <n v="0.35"/>
    <n v="1"/>
    <n v="7"/>
    <n v="1"/>
    <n v="7.0699999999999994"/>
    <n v="4.76"/>
    <n v="4.5910000000000002"/>
    <n v="0.59763313609467461"/>
    <x v="3"/>
    <n v="2.4300000000000002"/>
  </r>
  <r>
    <d v="2025-06-11T00:00:00"/>
    <s v="June"/>
    <n v="24"/>
    <x v="0"/>
    <n v="0.66"/>
    <n v="0.35"/>
    <n v="1"/>
    <n v="7"/>
    <n v="1"/>
    <n v="7.0699999999999994"/>
    <n v="4.76"/>
    <n v="4.5910000000000002"/>
    <n v="0.59763313609467461"/>
    <x v="4"/>
    <n v="1.67"/>
  </r>
  <r>
    <d v="2025-06-12T00:00:00"/>
    <s v="June"/>
    <n v="24"/>
    <x v="1"/>
    <n v="1.51"/>
    <n v="1.1000000000000001"/>
    <n v="6"/>
    <n v="7"/>
    <n v="1"/>
    <n v="7.6"/>
    <n v="4.18"/>
    <n v="3.5910000000000002"/>
    <n v="0.64516129032258063"/>
    <x v="0"/>
    <n v="4.99"/>
  </r>
  <r>
    <d v="2025-06-12T00:00:00"/>
    <s v="June"/>
    <n v="24"/>
    <x v="1"/>
    <n v="1.51"/>
    <n v="1.1000000000000001"/>
    <n v="6"/>
    <n v="7"/>
    <n v="1"/>
    <n v="7.6"/>
    <n v="4.18"/>
    <n v="3.5910000000000002"/>
    <n v="0.64516129032258063"/>
    <x v="1"/>
    <n v="5.2"/>
  </r>
  <r>
    <d v="2025-06-12T00:00:00"/>
    <s v="June"/>
    <n v="24"/>
    <x v="1"/>
    <n v="1.51"/>
    <n v="1.1000000000000001"/>
    <n v="6"/>
    <n v="7"/>
    <n v="1"/>
    <n v="7.6"/>
    <n v="4.18"/>
    <n v="3.5910000000000002"/>
    <n v="0.64516129032258063"/>
    <x v="2"/>
    <n v="1.51"/>
  </r>
  <r>
    <d v="2025-06-12T00:00:00"/>
    <s v="June"/>
    <n v="24"/>
    <x v="1"/>
    <n v="1.51"/>
    <n v="1.1000000000000001"/>
    <n v="6"/>
    <n v="7"/>
    <n v="1"/>
    <n v="7.6"/>
    <n v="4.18"/>
    <n v="3.5910000000000002"/>
    <n v="0.64516129032258063"/>
    <x v="3"/>
    <n v="1.76"/>
  </r>
  <r>
    <d v="2025-06-12T00:00:00"/>
    <s v="June"/>
    <n v="24"/>
    <x v="1"/>
    <n v="1.51"/>
    <n v="1.1000000000000001"/>
    <n v="6"/>
    <n v="7"/>
    <n v="1"/>
    <n v="7.6"/>
    <n v="4.18"/>
    <n v="3.5910000000000002"/>
    <n v="0.64516129032258063"/>
    <x v="4"/>
    <n v="0.91"/>
  </r>
  <r>
    <d v="2025-06-13T00:00:00"/>
    <s v="June"/>
    <n v="24"/>
    <x v="2"/>
    <n v="0.36"/>
    <n v="0.48"/>
    <n v="4"/>
    <n v="7"/>
    <n v="0.78285714285714281"/>
    <n v="5.4799999999999995"/>
    <n v="3.86"/>
    <n v="3.214"/>
    <n v="0.58672376873661669"/>
    <x v="0"/>
    <n v="4.87"/>
  </r>
  <r>
    <d v="2025-06-13T00:00:00"/>
    <s v="June"/>
    <n v="24"/>
    <x v="2"/>
    <n v="0.36"/>
    <n v="0.48"/>
    <n v="4"/>
    <n v="7"/>
    <n v="0.78285714285714281"/>
    <n v="5.4799999999999995"/>
    <n v="3.86"/>
    <n v="3.214"/>
    <n v="0.58672376873661669"/>
    <x v="1"/>
    <n v="5.3"/>
  </r>
  <r>
    <d v="2025-06-13T00:00:00"/>
    <s v="June"/>
    <n v="24"/>
    <x v="2"/>
    <n v="0.36"/>
    <n v="0.48"/>
    <n v="4"/>
    <n v="7"/>
    <n v="0.78285714285714281"/>
    <n v="5.4799999999999995"/>
    <n v="3.86"/>
    <n v="3.214"/>
    <n v="0.58672376873661669"/>
    <x v="2"/>
    <n v="0.13"/>
  </r>
  <r>
    <d v="2025-06-13T00:00:00"/>
    <s v="June"/>
    <n v="24"/>
    <x v="2"/>
    <n v="0.36"/>
    <n v="0.48"/>
    <n v="4"/>
    <n v="7"/>
    <n v="0.78285714285714281"/>
    <n v="5.4799999999999995"/>
    <n v="3.86"/>
    <n v="3.214"/>
    <n v="0.58672376873661669"/>
    <x v="3"/>
    <n v="1.34"/>
  </r>
  <r>
    <d v="2025-06-13T00:00:00"/>
    <s v="June"/>
    <n v="24"/>
    <x v="2"/>
    <n v="0.36"/>
    <n v="0.48"/>
    <n v="4"/>
    <n v="7"/>
    <n v="0.78285714285714281"/>
    <n v="5.4799999999999995"/>
    <n v="3.86"/>
    <n v="3.214"/>
    <n v="0.58672376873661669"/>
    <x v="4"/>
    <n v="2.16"/>
  </r>
  <r>
    <d v="2025-06-14T00:00:00"/>
    <s v="June"/>
    <n v="24"/>
    <x v="3"/>
    <n v="1.02"/>
    <n v="1.53"/>
    <n v="7"/>
    <n v="5"/>
    <n v="1"/>
    <n v="7.5200000000000005"/>
    <n v="7.3100000000000005"/>
    <n v="3.5489999999999999"/>
    <n v="0.50708024275118002"/>
    <x v="0"/>
    <n v="4.7"/>
  </r>
  <r>
    <d v="2025-06-14T00:00:00"/>
    <s v="June"/>
    <n v="24"/>
    <x v="3"/>
    <n v="1.02"/>
    <n v="1.53"/>
    <n v="7"/>
    <n v="5"/>
    <n v="1"/>
    <n v="7.5200000000000005"/>
    <n v="7.3100000000000005"/>
    <n v="3.5489999999999999"/>
    <n v="0.50708024275118002"/>
    <x v="1"/>
    <n v="6.8"/>
  </r>
  <r>
    <d v="2025-06-14T00:00:00"/>
    <s v="June"/>
    <n v="24"/>
    <x v="3"/>
    <n v="1.02"/>
    <n v="1.53"/>
    <n v="7"/>
    <n v="5"/>
    <n v="1"/>
    <n v="7.5200000000000005"/>
    <n v="7.3100000000000005"/>
    <n v="3.5489999999999999"/>
    <n v="0.50708024275118002"/>
    <x v="2"/>
    <n v="1.29"/>
  </r>
  <r>
    <d v="2025-06-14T00:00:00"/>
    <s v="June"/>
    <n v="24"/>
    <x v="3"/>
    <n v="1.02"/>
    <n v="1.53"/>
    <n v="7"/>
    <n v="5"/>
    <n v="1"/>
    <n v="7.5200000000000005"/>
    <n v="7.3100000000000005"/>
    <n v="3.5489999999999999"/>
    <n v="0.50708024275118002"/>
    <x v="3"/>
    <n v="3.37"/>
  </r>
  <r>
    <d v="2025-06-14T00:00:00"/>
    <s v="June"/>
    <n v="24"/>
    <x v="3"/>
    <n v="1.02"/>
    <n v="1.53"/>
    <n v="7"/>
    <n v="5"/>
    <n v="1"/>
    <n v="7.5200000000000005"/>
    <n v="7.3100000000000005"/>
    <n v="3.5489999999999999"/>
    <n v="0.50708024275118002"/>
    <x v="4"/>
    <n v="2.92"/>
  </r>
  <r>
    <d v="2025-06-15T00:00:00"/>
    <s v="June"/>
    <n v="24"/>
    <x v="4"/>
    <n v="1.21"/>
    <n v="0.25"/>
    <n v="6"/>
    <n v="5"/>
    <n v="1"/>
    <n v="5.62"/>
    <n v="5.91"/>
    <n v="3.746"/>
    <n v="0.48742411101474409"/>
    <x v="0"/>
    <n v="4.16"/>
  </r>
  <r>
    <d v="2025-06-15T00:00:00"/>
    <s v="June"/>
    <n v="24"/>
    <x v="4"/>
    <n v="1.21"/>
    <n v="0.25"/>
    <n v="6"/>
    <n v="5"/>
    <n v="1"/>
    <n v="5.62"/>
    <n v="5.91"/>
    <n v="3.746"/>
    <n v="0.48742411101474409"/>
    <x v="1"/>
    <n v="7.7"/>
  </r>
  <r>
    <d v="2025-06-15T00:00:00"/>
    <s v="June"/>
    <n v="24"/>
    <x v="4"/>
    <n v="1.21"/>
    <n v="0.25"/>
    <n v="6"/>
    <n v="5"/>
    <n v="1"/>
    <n v="5.62"/>
    <n v="5.91"/>
    <n v="3.746"/>
    <n v="0.48742411101474409"/>
    <x v="2"/>
    <n v="1.21"/>
  </r>
  <r>
    <d v="2025-06-15T00:00:00"/>
    <s v="June"/>
    <n v="24"/>
    <x v="4"/>
    <n v="1.21"/>
    <n v="0.25"/>
    <n v="6"/>
    <n v="5"/>
    <n v="1"/>
    <n v="5.62"/>
    <n v="5.91"/>
    <n v="3.746"/>
    <n v="0.48742411101474409"/>
    <x v="3"/>
    <n v="2.81"/>
  </r>
  <r>
    <d v="2025-06-15T00:00:00"/>
    <s v="June"/>
    <n v="24"/>
    <x v="4"/>
    <n v="1.21"/>
    <n v="0.25"/>
    <n v="6"/>
    <n v="5"/>
    <n v="1"/>
    <n v="5.62"/>
    <n v="5.91"/>
    <n v="3.746"/>
    <n v="0.48742411101474409"/>
    <x v="4"/>
    <n v="1.89"/>
  </r>
  <r>
    <d v="2025-06-16T00:00:00"/>
    <s v="June"/>
    <n v="25"/>
    <x v="5"/>
    <n v="1.21"/>
    <n v="0.83"/>
    <n v="10"/>
    <n v="7"/>
    <n v="1"/>
    <n v="7.6400000000000006"/>
    <n v="5.31"/>
    <n v="4.694"/>
    <n v="0.58996138996139003"/>
    <x v="0"/>
    <n v="5.57"/>
  </r>
  <r>
    <d v="2025-06-16T00:00:00"/>
    <s v="June"/>
    <n v="25"/>
    <x v="5"/>
    <n v="1.21"/>
    <n v="0.83"/>
    <n v="10"/>
    <n v="7"/>
    <n v="1"/>
    <n v="7.6400000000000006"/>
    <n v="5.31"/>
    <n v="4.694"/>
    <n v="0.58996138996139003"/>
    <x v="1"/>
    <n v="8.76"/>
  </r>
  <r>
    <d v="2025-06-16T00:00:00"/>
    <s v="June"/>
    <n v="25"/>
    <x v="5"/>
    <n v="1.21"/>
    <n v="0.83"/>
    <n v="10"/>
    <n v="7"/>
    <n v="1"/>
    <n v="7.6400000000000006"/>
    <n v="5.31"/>
    <n v="4.694"/>
    <n v="0.58996138996139003"/>
    <x v="2"/>
    <n v="1.24"/>
  </r>
  <r>
    <d v="2025-06-16T00:00:00"/>
    <s v="June"/>
    <n v="25"/>
    <x v="5"/>
    <n v="1.21"/>
    <n v="0.83"/>
    <n v="10"/>
    <n v="7"/>
    <n v="1"/>
    <n v="7.6400000000000006"/>
    <n v="5.31"/>
    <n v="4.694"/>
    <n v="0.58996138996139003"/>
    <x v="3"/>
    <n v="2.2599999999999998"/>
  </r>
  <r>
    <d v="2025-06-16T00:00:00"/>
    <s v="June"/>
    <n v="25"/>
    <x v="5"/>
    <n v="1.21"/>
    <n v="0.83"/>
    <n v="10"/>
    <n v="7"/>
    <n v="1"/>
    <n v="7.6400000000000006"/>
    <n v="5.31"/>
    <n v="4.694"/>
    <n v="0.58996138996139003"/>
    <x v="4"/>
    <n v="1.84"/>
  </r>
  <r>
    <d v="2025-06-17T00:00:00"/>
    <s v="June"/>
    <n v="25"/>
    <x v="6"/>
    <n v="0.64"/>
    <n v="0.5"/>
    <n v="7"/>
    <n v="7"/>
    <n v="0.55714285714285705"/>
    <n v="3.8999999999999995"/>
    <n v="7.46"/>
    <n v="2.798"/>
    <n v="0.34330985915492956"/>
    <x v="0"/>
    <n v="1.76"/>
  </r>
  <r>
    <d v="2025-06-17T00:00:00"/>
    <s v="June"/>
    <n v="25"/>
    <x v="6"/>
    <n v="0.64"/>
    <n v="0.5"/>
    <n v="7"/>
    <n v="7"/>
    <n v="0.55714285714285705"/>
    <n v="3.8999999999999995"/>
    <n v="7.46"/>
    <n v="2.798"/>
    <n v="0.34330985915492956"/>
    <x v="1"/>
    <n v="8.16"/>
  </r>
  <r>
    <d v="2025-06-17T00:00:00"/>
    <s v="June"/>
    <n v="25"/>
    <x v="6"/>
    <n v="0.64"/>
    <n v="0.5"/>
    <n v="7"/>
    <n v="7"/>
    <n v="0.55714285714285705"/>
    <n v="3.8999999999999995"/>
    <n v="7.46"/>
    <n v="2.798"/>
    <n v="0.34330985915492956"/>
    <x v="2"/>
    <n v="1.64"/>
  </r>
  <r>
    <d v="2025-06-17T00:00:00"/>
    <s v="June"/>
    <n v="25"/>
    <x v="6"/>
    <n v="0.64"/>
    <n v="0.5"/>
    <n v="7"/>
    <n v="7"/>
    <n v="0.55714285714285705"/>
    <n v="3.8999999999999995"/>
    <n v="7.46"/>
    <n v="2.798"/>
    <n v="0.34330985915492956"/>
    <x v="3"/>
    <n v="4.87"/>
  </r>
  <r>
    <d v="2025-06-17T00:00:00"/>
    <s v="June"/>
    <n v="25"/>
    <x v="6"/>
    <n v="0.64"/>
    <n v="0.5"/>
    <n v="7"/>
    <n v="7"/>
    <n v="0.55714285714285705"/>
    <n v="3.8999999999999995"/>
    <n v="7.46"/>
    <n v="2.798"/>
    <n v="0.34330985915492956"/>
    <x v="4"/>
    <n v="1.95"/>
  </r>
  <r>
    <d v="2025-06-18T00:00:00"/>
    <s v="June"/>
    <n v="25"/>
    <x v="0"/>
    <n v="1.99"/>
    <n v="0.75"/>
    <n v="5"/>
    <n v="7"/>
    <n v="0.99571428571428566"/>
    <n v="6.97"/>
    <n v="5.47"/>
    <n v="3.6029999999999998"/>
    <n v="0.56028938906752412"/>
    <x v="0"/>
    <n v="4.8499999999999996"/>
  </r>
  <r>
    <d v="2025-06-18T00:00:00"/>
    <s v="June"/>
    <n v="25"/>
    <x v="0"/>
    <n v="1.99"/>
    <n v="0.75"/>
    <n v="5"/>
    <n v="7"/>
    <n v="0.99571428571428566"/>
    <n v="6.97"/>
    <n v="5.47"/>
    <n v="3.6029999999999998"/>
    <n v="0.56028938906752412"/>
    <x v="1"/>
    <n v="5.79"/>
  </r>
  <r>
    <d v="2025-06-18T00:00:00"/>
    <s v="June"/>
    <n v="25"/>
    <x v="0"/>
    <n v="1.99"/>
    <n v="0.75"/>
    <n v="5"/>
    <n v="7"/>
    <n v="0.99571428571428566"/>
    <n v="6.97"/>
    <n v="5.47"/>
    <n v="3.6029999999999998"/>
    <n v="0.56028938906752412"/>
    <x v="2"/>
    <n v="1.37"/>
  </r>
  <r>
    <d v="2025-06-18T00:00:00"/>
    <s v="June"/>
    <n v="25"/>
    <x v="0"/>
    <n v="1.99"/>
    <n v="0.75"/>
    <n v="5"/>
    <n v="7"/>
    <n v="0.99571428571428566"/>
    <n v="6.97"/>
    <n v="5.47"/>
    <n v="3.6029999999999998"/>
    <n v="0.56028938906752412"/>
    <x v="3"/>
    <n v="1.9"/>
  </r>
  <r>
    <d v="2025-06-18T00:00:00"/>
    <s v="June"/>
    <n v="25"/>
    <x v="0"/>
    <n v="1.99"/>
    <n v="0.75"/>
    <n v="5"/>
    <n v="7"/>
    <n v="0.99571428571428566"/>
    <n v="6.97"/>
    <n v="5.47"/>
    <n v="3.6029999999999998"/>
    <n v="0.56028938906752412"/>
    <x v="4"/>
    <n v="1.58"/>
  </r>
  <r>
    <d v="2025-06-19T00:00:00"/>
    <s v="June"/>
    <n v="25"/>
    <x v="1"/>
    <n v="1.1000000000000001"/>
    <n v="1.53"/>
    <n v="2"/>
    <n v="7"/>
    <n v="0.96142857142857152"/>
    <n v="6.73"/>
    <n v="5.2899999999999991"/>
    <n v="3.4830000000000001"/>
    <n v="0.55990016638935114"/>
    <x v="0"/>
    <n v="5.16"/>
  </r>
  <r>
    <d v="2025-06-19T00:00:00"/>
    <s v="June"/>
    <n v="25"/>
    <x v="1"/>
    <n v="1.1000000000000001"/>
    <n v="1.53"/>
    <n v="2"/>
    <n v="7"/>
    <n v="0.96142857142857152"/>
    <n v="6.73"/>
    <n v="5.2899999999999991"/>
    <n v="3.4830000000000001"/>
    <n v="0.55990016638935114"/>
    <x v="1"/>
    <n v="6.1"/>
  </r>
  <r>
    <d v="2025-06-19T00:00:00"/>
    <s v="June"/>
    <n v="25"/>
    <x v="1"/>
    <n v="1.1000000000000001"/>
    <n v="1.53"/>
    <n v="2"/>
    <n v="7"/>
    <n v="0.96142857142857152"/>
    <n v="6.73"/>
    <n v="5.2899999999999991"/>
    <n v="3.4830000000000001"/>
    <n v="0.55990016638935114"/>
    <x v="2"/>
    <n v="0.04"/>
  </r>
  <r>
    <d v="2025-06-19T00:00:00"/>
    <s v="June"/>
    <n v="25"/>
    <x v="1"/>
    <n v="1.1000000000000001"/>
    <n v="1.53"/>
    <n v="2"/>
    <n v="7"/>
    <n v="0.96142857142857152"/>
    <n v="6.73"/>
    <n v="5.2899999999999991"/>
    <n v="3.4830000000000001"/>
    <n v="0.55990016638935114"/>
    <x v="3"/>
    <n v="3.71"/>
  </r>
  <r>
    <d v="2025-06-19T00:00:00"/>
    <s v="June"/>
    <n v="25"/>
    <x v="1"/>
    <n v="1.1000000000000001"/>
    <n v="1.53"/>
    <n v="2"/>
    <n v="7"/>
    <n v="0.96142857142857152"/>
    <n v="6.73"/>
    <n v="5.2899999999999991"/>
    <n v="3.4830000000000001"/>
    <n v="0.55990016638935114"/>
    <x v="4"/>
    <n v="0.48"/>
  </r>
  <r>
    <d v="2025-06-20T00:00:00"/>
    <s v="June"/>
    <n v="25"/>
    <x v="2"/>
    <n v="1.94"/>
    <n v="1.69"/>
    <n v="6"/>
    <n v="7"/>
    <n v="0.58142857142857152"/>
    <n v="4.07"/>
    <n v="5.4"/>
    <n v="3.0379999999999998"/>
    <n v="0.42977824709609291"/>
    <x v="0"/>
    <n v="1.43"/>
  </r>
  <r>
    <d v="2025-06-20T00:00:00"/>
    <s v="June"/>
    <n v="25"/>
    <x v="2"/>
    <n v="1.94"/>
    <n v="1.69"/>
    <n v="6"/>
    <n v="7"/>
    <n v="0.58142857142857152"/>
    <n v="4.07"/>
    <n v="5.4"/>
    <n v="3.0379999999999998"/>
    <n v="0.42977824709609291"/>
    <x v="1"/>
    <n v="8.74"/>
  </r>
  <r>
    <d v="2025-06-20T00:00:00"/>
    <s v="June"/>
    <n v="25"/>
    <x v="2"/>
    <n v="1.94"/>
    <n v="1.69"/>
    <n v="6"/>
    <n v="7"/>
    <n v="0.58142857142857152"/>
    <n v="4.07"/>
    <n v="5.4"/>
    <n v="3.0379999999999998"/>
    <n v="0.42977824709609291"/>
    <x v="2"/>
    <n v="0.95"/>
  </r>
  <r>
    <d v="2025-06-20T00:00:00"/>
    <s v="June"/>
    <n v="25"/>
    <x v="2"/>
    <n v="1.94"/>
    <n v="1.69"/>
    <n v="6"/>
    <n v="7"/>
    <n v="0.58142857142857152"/>
    <n v="4.07"/>
    <n v="5.4"/>
    <n v="3.0379999999999998"/>
    <n v="0.42977824709609291"/>
    <x v="3"/>
    <n v="2.62"/>
  </r>
  <r>
    <d v="2025-06-20T00:00:00"/>
    <s v="June"/>
    <n v="25"/>
    <x v="2"/>
    <n v="1.94"/>
    <n v="1.69"/>
    <n v="6"/>
    <n v="7"/>
    <n v="0.58142857142857152"/>
    <n v="4.07"/>
    <n v="5.4"/>
    <n v="3.0379999999999998"/>
    <n v="0.42977824709609291"/>
    <x v="4"/>
    <n v="0.84"/>
  </r>
  <r>
    <d v="2025-06-21T00:00:00"/>
    <s v="June"/>
    <n v="25"/>
    <x v="3"/>
    <n v="0.42"/>
    <n v="1.03"/>
    <n v="1"/>
    <n v="5"/>
    <n v="1"/>
    <n v="5.16"/>
    <n v="2.2199999999999998"/>
    <n v="2.78"/>
    <n v="0.69918699186991873"/>
    <x v="0"/>
    <n v="2.5099999999999998"/>
  </r>
  <r>
    <d v="2025-06-21T00:00:00"/>
    <s v="June"/>
    <n v="25"/>
    <x v="3"/>
    <n v="0.42"/>
    <n v="1.03"/>
    <n v="1"/>
    <n v="5"/>
    <n v="1"/>
    <n v="5.16"/>
    <n v="2.2199999999999998"/>
    <n v="2.78"/>
    <n v="0.69918699186991873"/>
    <x v="1"/>
    <n v="5.44"/>
  </r>
  <r>
    <d v="2025-06-21T00:00:00"/>
    <s v="June"/>
    <n v="25"/>
    <x v="3"/>
    <n v="0.42"/>
    <n v="1.03"/>
    <n v="1"/>
    <n v="5"/>
    <n v="1"/>
    <n v="5.16"/>
    <n v="2.2199999999999998"/>
    <n v="2.78"/>
    <n v="0.69918699186991873"/>
    <x v="2"/>
    <n v="1.62"/>
  </r>
  <r>
    <d v="2025-06-21T00:00:00"/>
    <s v="June"/>
    <n v="25"/>
    <x v="3"/>
    <n v="0.42"/>
    <n v="1.03"/>
    <n v="1"/>
    <n v="5"/>
    <n v="1"/>
    <n v="5.16"/>
    <n v="2.2199999999999998"/>
    <n v="2.78"/>
    <n v="0.69918699186991873"/>
    <x v="3"/>
    <n v="1.1499999999999999"/>
  </r>
  <r>
    <d v="2025-06-21T00:00:00"/>
    <s v="June"/>
    <n v="25"/>
    <x v="3"/>
    <n v="0.42"/>
    <n v="1.03"/>
    <n v="1"/>
    <n v="5"/>
    <n v="1"/>
    <n v="5.16"/>
    <n v="2.2199999999999998"/>
    <n v="2.78"/>
    <n v="0.69918699186991873"/>
    <x v="4"/>
    <n v="0.65"/>
  </r>
  <r>
    <d v="2025-06-22T00:00:00"/>
    <s v="June"/>
    <n v="25"/>
    <x v="4"/>
    <n v="0.22"/>
    <n v="0.3"/>
    <n v="6"/>
    <n v="5"/>
    <n v="1"/>
    <n v="7.1"/>
    <n v="6.04"/>
    <n v="3.5270000000000001"/>
    <n v="0.54033485540334847"/>
    <x v="0"/>
    <n v="5.03"/>
  </r>
  <r>
    <d v="2025-06-22T00:00:00"/>
    <s v="June"/>
    <n v="25"/>
    <x v="4"/>
    <n v="0.22"/>
    <n v="0.3"/>
    <n v="6"/>
    <n v="5"/>
    <n v="1"/>
    <n v="7.1"/>
    <n v="6.04"/>
    <n v="3.5270000000000001"/>
    <n v="0.54033485540334847"/>
    <x v="1"/>
    <n v="5.81"/>
  </r>
  <r>
    <d v="2025-06-22T00:00:00"/>
    <s v="June"/>
    <n v="25"/>
    <x v="4"/>
    <n v="0.22"/>
    <n v="0.3"/>
    <n v="6"/>
    <n v="5"/>
    <n v="1"/>
    <n v="7.1"/>
    <n v="6.04"/>
    <n v="3.5270000000000001"/>
    <n v="0.54033485540334847"/>
    <x v="2"/>
    <n v="1.77"/>
  </r>
  <r>
    <d v="2025-06-22T00:00:00"/>
    <s v="June"/>
    <n v="25"/>
    <x v="4"/>
    <n v="0.22"/>
    <n v="0.3"/>
    <n v="6"/>
    <n v="5"/>
    <n v="1"/>
    <n v="7.1"/>
    <n v="6.04"/>
    <n v="3.5270000000000001"/>
    <n v="0.54033485540334847"/>
    <x v="3"/>
    <n v="4.4000000000000004"/>
  </r>
  <r>
    <d v="2025-06-22T00:00:00"/>
    <s v="June"/>
    <n v="25"/>
    <x v="4"/>
    <n v="0.22"/>
    <n v="0.3"/>
    <n v="6"/>
    <n v="5"/>
    <n v="1"/>
    <n v="7.1"/>
    <n v="6.04"/>
    <n v="3.5270000000000001"/>
    <n v="0.54033485540334847"/>
    <x v="4"/>
    <n v="1.42"/>
  </r>
  <r>
    <d v="2025-06-23T00:00:00"/>
    <s v="June"/>
    <n v="26"/>
    <x v="5"/>
    <n v="1.96"/>
    <n v="1.1499999999999999"/>
    <n v="6"/>
    <n v="7"/>
    <n v="0.8571428571428571"/>
    <n v="6"/>
    <n v="4.13"/>
    <n v="3.6839999999999993"/>
    <n v="0.59230009871668321"/>
    <x v="0"/>
    <n v="4.26"/>
  </r>
  <r>
    <d v="2025-06-23T00:00:00"/>
    <s v="June"/>
    <n v="26"/>
    <x v="5"/>
    <n v="1.96"/>
    <n v="1.1499999999999999"/>
    <n v="6"/>
    <n v="7"/>
    <n v="0.8571428571428571"/>
    <n v="6"/>
    <n v="4.13"/>
    <n v="3.6839999999999993"/>
    <n v="0.59230009871668321"/>
    <x v="1"/>
    <n v="6.93"/>
  </r>
  <r>
    <d v="2025-06-23T00:00:00"/>
    <s v="June"/>
    <n v="26"/>
    <x v="5"/>
    <n v="1.96"/>
    <n v="1.1499999999999999"/>
    <n v="6"/>
    <n v="7"/>
    <n v="0.8571428571428571"/>
    <n v="6"/>
    <n v="4.13"/>
    <n v="3.6839999999999993"/>
    <n v="0.59230009871668321"/>
    <x v="2"/>
    <n v="0.59"/>
  </r>
  <r>
    <d v="2025-06-23T00:00:00"/>
    <s v="June"/>
    <n v="26"/>
    <x v="5"/>
    <n v="1.96"/>
    <n v="1.1499999999999999"/>
    <n v="6"/>
    <n v="7"/>
    <n v="0.8571428571428571"/>
    <n v="6"/>
    <n v="4.13"/>
    <n v="3.6839999999999993"/>
    <n v="0.59230009871668321"/>
    <x v="3"/>
    <n v="1.72"/>
  </r>
  <r>
    <d v="2025-06-23T00:00:00"/>
    <s v="June"/>
    <n v="26"/>
    <x v="5"/>
    <n v="1.96"/>
    <n v="1.1499999999999999"/>
    <n v="6"/>
    <n v="7"/>
    <n v="0.8571428571428571"/>
    <n v="6"/>
    <n v="4.13"/>
    <n v="3.6839999999999993"/>
    <n v="0.59230009871668321"/>
    <x v="4"/>
    <n v="0.45"/>
  </r>
  <r>
    <d v="2025-06-24T00:00:00"/>
    <s v="June"/>
    <n v="26"/>
    <x v="6"/>
    <n v="0.88"/>
    <n v="0.3"/>
    <n v="2"/>
    <n v="7"/>
    <n v="0.36999999999999994"/>
    <n v="2.5899999999999994"/>
    <n v="3.91"/>
    <n v="2.1939999999999995"/>
    <n v="0.39846153846153837"/>
    <x v="0"/>
    <n v="2.2599999999999998"/>
  </r>
  <r>
    <d v="2025-06-24T00:00:00"/>
    <s v="June"/>
    <n v="26"/>
    <x v="6"/>
    <n v="0.88"/>
    <n v="0.3"/>
    <n v="2"/>
    <n v="7"/>
    <n v="0.36999999999999994"/>
    <n v="2.5899999999999994"/>
    <n v="3.91"/>
    <n v="2.1939999999999995"/>
    <n v="0.39846153846153837"/>
    <x v="1"/>
    <n v="5.29"/>
  </r>
  <r>
    <d v="2025-06-24T00:00:00"/>
    <s v="June"/>
    <n v="26"/>
    <x v="6"/>
    <n v="0.88"/>
    <n v="0.3"/>
    <n v="2"/>
    <n v="7"/>
    <n v="0.36999999999999994"/>
    <n v="2.5899999999999994"/>
    <n v="3.91"/>
    <n v="2.1939999999999995"/>
    <n v="0.39846153846153837"/>
    <x v="2"/>
    <n v="0.03"/>
  </r>
  <r>
    <d v="2025-06-24T00:00:00"/>
    <s v="June"/>
    <n v="26"/>
    <x v="6"/>
    <n v="0.88"/>
    <n v="0.3"/>
    <n v="2"/>
    <n v="7"/>
    <n v="0.36999999999999994"/>
    <n v="2.5899999999999994"/>
    <n v="3.91"/>
    <n v="2.1939999999999995"/>
    <n v="0.39846153846153837"/>
    <x v="3"/>
    <n v="1.82"/>
  </r>
  <r>
    <d v="2025-06-24T00:00:00"/>
    <s v="June"/>
    <n v="26"/>
    <x v="6"/>
    <n v="0.88"/>
    <n v="0.3"/>
    <n v="2"/>
    <n v="7"/>
    <n v="0.36999999999999994"/>
    <n v="2.5899999999999994"/>
    <n v="3.91"/>
    <n v="2.1939999999999995"/>
    <n v="0.39846153846153837"/>
    <x v="4"/>
    <n v="1.21"/>
  </r>
  <r>
    <d v="2025-06-25T00:00:00"/>
    <s v="June"/>
    <n v="26"/>
    <x v="0"/>
    <n v="0.41"/>
    <n v="0.73"/>
    <n v="4"/>
    <n v="7"/>
    <n v="0.83714285714285708"/>
    <n v="5.8599999999999994"/>
    <n v="7.33"/>
    <n v="3.4060000000000006"/>
    <n v="0.44427596664139496"/>
    <x v="0"/>
    <n v="4.62"/>
  </r>
  <r>
    <d v="2025-06-25T00:00:00"/>
    <s v="June"/>
    <n v="26"/>
    <x v="0"/>
    <n v="0.41"/>
    <n v="0.73"/>
    <n v="4"/>
    <n v="7"/>
    <n v="0.83714285714285708"/>
    <n v="5.8599999999999994"/>
    <n v="7.33"/>
    <n v="3.4060000000000006"/>
    <n v="0.44427596664139496"/>
    <x v="1"/>
    <n v="7.16"/>
  </r>
  <r>
    <d v="2025-06-25T00:00:00"/>
    <s v="June"/>
    <n v="26"/>
    <x v="0"/>
    <n v="0.41"/>
    <n v="0.73"/>
    <n v="4"/>
    <n v="7"/>
    <n v="0.83714285714285708"/>
    <n v="5.8599999999999994"/>
    <n v="7.33"/>
    <n v="3.4060000000000006"/>
    <n v="0.44427596664139496"/>
    <x v="2"/>
    <n v="0.51"/>
  </r>
  <r>
    <d v="2025-06-25T00:00:00"/>
    <s v="June"/>
    <n v="26"/>
    <x v="0"/>
    <n v="0.41"/>
    <n v="0.73"/>
    <n v="4"/>
    <n v="7"/>
    <n v="0.83714285714285708"/>
    <n v="5.8599999999999994"/>
    <n v="7.33"/>
    <n v="3.4060000000000006"/>
    <n v="0.44427596664139496"/>
    <x v="3"/>
    <n v="4.17"/>
  </r>
  <r>
    <d v="2025-06-25T00:00:00"/>
    <s v="June"/>
    <n v="26"/>
    <x v="0"/>
    <n v="0.41"/>
    <n v="0.73"/>
    <n v="4"/>
    <n v="7"/>
    <n v="0.83714285714285708"/>
    <n v="5.8599999999999994"/>
    <n v="7.33"/>
    <n v="3.4060000000000006"/>
    <n v="0.44427596664139496"/>
    <x v="4"/>
    <n v="2.75"/>
  </r>
  <r>
    <d v="2025-06-26T00:00:00"/>
    <s v="June"/>
    <n v="26"/>
    <x v="1"/>
    <n v="0.26"/>
    <n v="1.29"/>
    <n v="6"/>
    <n v="7"/>
    <n v="1"/>
    <n v="7.29"/>
    <n v="5.29"/>
    <n v="4.2200000000000006"/>
    <n v="0.57949125596184414"/>
    <x v="0"/>
    <n v="4.16"/>
  </r>
  <r>
    <d v="2025-06-26T00:00:00"/>
    <s v="June"/>
    <n v="26"/>
    <x v="1"/>
    <n v="0.26"/>
    <n v="1.29"/>
    <n v="6"/>
    <n v="7"/>
    <n v="1"/>
    <n v="7.29"/>
    <n v="5.29"/>
    <n v="4.2200000000000006"/>
    <n v="0.57949125596184414"/>
    <x v="1"/>
    <n v="8.9700000000000006"/>
  </r>
  <r>
    <d v="2025-06-26T00:00:00"/>
    <s v="June"/>
    <n v="26"/>
    <x v="1"/>
    <n v="0.26"/>
    <n v="1.29"/>
    <n v="6"/>
    <n v="7"/>
    <n v="1"/>
    <n v="7.29"/>
    <n v="5.29"/>
    <n v="4.2200000000000006"/>
    <n v="0.57949125596184414"/>
    <x v="2"/>
    <n v="1.84"/>
  </r>
  <r>
    <d v="2025-06-26T00:00:00"/>
    <s v="June"/>
    <n v="26"/>
    <x v="1"/>
    <n v="0.26"/>
    <n v="1.29"/>
    <n v="6"/>
    <n v="7"/>
    <n v="1"/>
    <n v="7.29"/>
    <n v="5.29"/>
    <n v="4.2200000000000006"/>
    <n v="0.57949125596184414"/>
    <x v="3"/>
    <n v="4.58"/>
  </r>
  <r>
    <d v="2025-06-26T00:00:00"/>
    <s v="June"/>
    <n v="26"/>
    <x v="1"/>
    <n v="0.26"/>
    <n v="1.29"/>
    <n v="6"/>
    <n v="7"/>
    <n v="1"/>
    <n v="7.29"/>
    <n v="5.29"/>
    <n v="4.2200000000000006"/>
    <n v="0.57949125596184414"/>
    <x v="4"/>
    <n v="0.45"/>
  </r>
  <r>
    <d v="2025-06-27T00:00:00"/>
    <s v="June"/>
    <n v="26"/>
    <x v="2"/>
    <n v="0.33"/>
    <n v="1.73"/>
    <n v="3"/>
    <n v="7"/>
    <n v="0.83857142857142841"/>
    <n v="5.8699999999999992"/>
    <n v="4.8500000000000005"/>
    <n v="3.0609999999999999"/>
    <n v="0.5475746268656716"/>
    <x v="0"/>
    <n v="3.45"/>
  </r>
  <r>
    <d v="2025-06-27T00:00:00"/>
    <s v="June"/>
    <n v="26"/>
    <x v="2"/>
    <n v="0.33"/>
    <n v="1.73"/>
    <n v="3"/>
    <n v="7"/>
    <n v="0.83857142857142841"/>
    <n v="5.8699999999999992"/>
    <n v="4.8500000000000005"/>
    <n v="3.0609999999999999"/>
    <n v="0.5475746268656716"/>
    <x v="1"/>
    <n v="6.65"/>
  </r>
  <r>
    <d v="2025-06-27T00:00:00"/>
    <s v="June"/>
    <n v="26"/>
    <x v="2"/>
    <n v="0.33"/>
    <n v="1.73"/>
    <n v="3"/>
    <n v="7"/>
    <n v="0.83857142857142841"/>
    <n v="5.8699999999999992"/>
    <n v="4.8500000000000005"/>
    <n v="3.0609999999999999"/>
    <n v="0.5475746268656716"/>
    <x v="2"/>
    <n v="0.69"/>
  </r>
  <r>
    <d v="2025-06-27T00:00:00"/>
    <s v="June"/>
    <n v="26"/>
    <x v="2"/>
    <n v="0.33"/>
    <n v="1.73"/>
    <n v="3"/>
    <n v="7"/>
    <n v="0.83857142857142841"/>
    <n v="5.8699999999999992"/>
    <n v="4.8500000000000005"/>
    <n v="3.0609999999999999"/>
    <n v="0.5475746268656716"/>
    <x v="3"/>
    <n v="1.84"/>
  </r>
  <r>
    <d v="2025-06-27T00:00:00"/>
    <s v="June"/>
    <n v="26"/>
    <x v="2"/>
    <n v="0.33"/>
    <n v="1.73"/>
    <n v="3"/>
    <n v="7"/>
    <n v="0.83857142857142841"/>
    <n v="5.8699999999999992"/>
    <n v="4.8500000000000005"/>
    <n v="3.0609999999999999"/>
    <n v="0.5475746268656716"/>
    <x v="4"/>
    <n v="2.68"/>
  </r>
  <r>
    <d v="2025-06-28T00:00:00"/>
    <s v="June"/>
    <n v="26"/>
    <x v="3"/>
    <n v="1.88"/>
    <n v="1.9"/>
    <n v="3"/>
    <n v="5"/>
    <n v="1"/>
    <n v="6.25"/>
    <n v="4.58"/>
    <n v="3.7939999999999992"/>
    <n v="0.57710064635272396"/>
    <x v="0"/>
    <n v="3.79"/>
  </r>
  <r>
    <d v="2025-06-28T00:00:00"/>
    <s v="June"/>
    <n v="26"/>
    <x v="3"/>
    <n v="1.88"/>
    <n v="1.9"/>
    <n v="3"/>
    <n v="5"/>
    <n v="1"/>
    <n v="6.25"/>
    <n v="4.58"/>
    <n v="3.7939999999999992"/>
    <n v="0.57710064635272396"/>
    <x v="1"/>
    <n v="8.1199999999999992"/>
  </r>
  <r>
    <d v="2025-06-28T00:00:00"/>
    <s v="June"/>
    <n v="26"/>
    <x v="3"/>
    <n v="1.88"/>
    <n v="1.9"/>
    <n v="3"/>
    <n v="5"/>
    <n v="1"/>
    <n v="6.25"/>
    <n v="4.58"/>
    <n v="3.7939999999999992"/>
    <n v="0.57710064635272396"/>
    <x v="2"/>
    <n v="0.56000000000000005"/>
  </r>
  <r>
    <d v="2025-06-28T00:00:00"/>
    <s v="June"/>
    <n v="26"/>
    <x v="3"/>
    <n v="1.88"/>
    <n v="1.9"/>
    <n v="3"/>
    <n v="5"/>
    <n v="1"/>
    <n v="6.25"/>
    <n v="4.58"/>
    <n v="3.7939999999999992"/>
    <n v="0.57710064635272396"/>
    <x v="3"/>
    <n v="1.41"/>
  </r>
  <r>
    <d v="2025-06-28T00:00:00"/>
    <s v="June"/>
    <n v="26"/>
    <x v="3"/>
    <n v="1.88"/>
    <n v="1.9"/>
    <n v="3"/>
    <n v="5"/>
    <n v="1"/>
    <n v="6.25"/>
    <n v="4.58"/>
    <n v="3.7939999999999992"/>
    <n v="0.57710064635272396"/>
    <x v="4"/>
    <n v="1.29"/>
  </r>
  <r>
    <d v="2025-06-29T00:00:00"/>
    <s v="June"/>
    <n v="26"/>
    <x v="4"/>
    <n v="0.57999999999999996"/>
    <n v="1.24"/>
    <n v="10"/>
    <n v="5"/>
    <n v="1"/>
    <n v="6.93"/>
    <n v="7.58"/>
    <n v="3.5999999999999996"/>
    <n v="0.47760165403170224"/>
    <x v="0"/>
    <n v="4.68"/>
  </r>
  <r>
    <d v="2025-06-29T00:00:00"/>
    <s v="June"/>
    <n v="26"/>
    <x v="4"/>
    <n v="0.57999999999999996"/>
    <n v="1.24"/>
    <n v="10"/>
    <n v="5"/>
    <n v="1"/>
    <n v="6.93"/>
    <n v="7.58"/>
    <n v="3.5999999999999996"/>
    <n v="0.47760165403170224"/>
    <x v="1"/>
    <n v="7.42"/>
  </r>
  <r>
    <d v="2025-06-29T00:00:00"/>
    <s v="June"/>
    <n v="26"/>
    <x v="4"/>
    <n v="0.57999999999999996"/>
    <n v="1.24"/>
    <n v="10"/>
    <n v="5"/>
    <n v="1"/>
    <n v="6.93"/>
    <n v="7.58"/>
    <n v="3.5999999999999996"/>
    <n v="0.47760165403170224"/>
    <x v="2"/>
    <n v="1.01"/>
  </r>
  <r>
    <d v="2025-06-29T00:00:00"/>
    <s v="June"/>
    <n v="26"/>
    <x v="4"/>
    <n v="0.57999999999999996"/>
    <n v="1.24"/>
    <n v="10"/>
    <n v="5"/>
    <n v="1"/>
    <n v="6.93"/>
    <n v="7.58"/>
    <n v="3.5999999999999996"/>
    <n v="0.47760165403170224"/>
    <x v="3"/>
    <n v="4.33"/>
  </r>
  <r>
    <d v="2025-06-29T00:00:00"/>
    <s v="June"/>
    <n v="26"/>
    <x v="4"/>
    <n v="0.57999999999999996"/>
    <n v="1.24"/>
    <n v="10"/>
    <n v="5"/>
    <n v="1"/>
    <n v="6.93"/>
    <n v="7.58"/>
    <n v="3.5999999999999996"/>
    <n v="0.47760165403170224"/>
    <x v="4"/>
    <n v="2.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1CE891-1693-4BF3-8637-17A0AF085E4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20">
    <pivotField axis="axisRow"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pivotField showAll="0"/>
    <pivotField showAll="0"/>
    <pivotField dataField="1" numFmtId="2" showAll="0"/>
    <pivotField numFmtId="2" showAll="0">
      <items count="9">
        <item x="0"/>
        <item x="1"/>
        <item x="2"/>
        <item x="3"/>
        <item x="4"/>
        <item x="5"/>
        <item x="6"/>
        <item x="7"/>
        <item t="default"/>
      </items>
    </pivotField>
    <pivotField numFmtId="2" showAll="0"/>
    <pivotField numFmtId="2" showAll="0"/>
    <pivotField numFmtId="2" showAll="0"/>
    <pivotField numFmtId="2" showAll="0"/>
    <pivotField numFmtId="2" showAll="0"/>
    <pivotField numFmtId="1" showAll="0"/>
    <pivotField numFmtId="1" showAll="0"/>
    <pivotField numFmtId="10" showAll="0"/>
    <pivotField numFmtId="2" showAll="0"/>
    <pivotField numFmtId="2" showAll="0"/>
    <pivotField numFmtId="2" showAll="0"/>
    <pivotField dataField="1" numFmtId="10"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9"/>
    <field x="18"/>
    <field x="0"/>
  </rowFields>
  <rowItems count="7">
    <i>
      <x v="1"/>
    </i>
    <i>
      <x v="2"/>
    </i>
    <i>
      <x v="3"/>
    </i>
    <i>
      <x v="4"/>
    </i>
    <i>
      <x v="5"/>
    </i>
    <i>
      <x v="6"/>
    </i>
    <i t="grand">
      <x/>
    </i>
  </rowItems>
  <colFields count="1">
    <field x="-2"/>
  </colFields>
  <colItems count="2">
    <i>
      <x/>
    </i>
    <i i="1">
      <x v="1"/>
    </i>
  </colItems>
  <dataFields count="2">
    <dataField name="Sum of Study_Hours" fld="4" baseField="0" baseItem="0" numFmtId="2"/>
    <dataField name="Average of Productivity_Index" fld="17" subtotal="average" baseField="19"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0D4CB0-4984-4350-972A-8C29D74FA70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22">
    <pivotField axis="axisRow"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1" showAll="0"/>
    <pivotField numFmtId="1" showAll="0"/>
    <pivotField numFmtId="10" showAll="0"/>
    <pivotField dataField="1" numFmtId="2" showAll="0"/>
    <pivotField dataField="1" numFmtId="2" showAll="0"/>
    <pivotField numFmtId="2" showAll="0"/>
    <pivotField numFmtId="10"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3">
    <field x="20"/>
    <field x="19"/>
    <field x="0"/>
  </rowFields>
  <rowItems count="7">
    <i>
      <x v="1"/>
    </i>
    <i>
      <x v="2"/>
    </i>
    <i>
      <x v="3"/>
    </i>
    <i>
      <x v="4"/>
    </i>
    <i>
      <x v="5"/>
    </i>
    <i>
      <x v="6"/>
    </i>
    <i t="grand">
      <x/>
    </i>
  </rowItems>
  <colFields count="1">
    <field x="-2"/>
  </colFields>
  <colItems count="3">
    <i>
      <x/>
    </i>
    <i i="1">
      <x v="1"/>
    </i>
    <i i="2">
      <x v="2"/>
    </i>
  </colItems>
  <dataFields count="3">
    <dataField name="Sum of Total_Productive_Hours" fld="14" baseField="0" baseItem="0" numFmtId="2"/>
    <dataField name="Sum of Unproductive_Hours" fld="15" baseField="0" baseItem="0" numFmtId="2"/>
    <dataField name="Sum of Productivity" fld="2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E8FD04-413D-4A6F-9170-B290F08CF2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1:E42" firstHeaderRow="1" firstDataRow="1" firstDataCol="0"/>
  <pivotFields count="2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7">
        <item h="1" x="0"/>
        <item h="1" x="1"/>
        <item h="1" x="2"/>
        <item h="1" x="3"/>
        <item h="1" x="4"/>
        <item x="5"/>
        <item t="default"/>
      </items>
    </pivotField>
    <pivotField showAll="0"/>
    <pivotField showAll="0"/>
    <pivotField numFmtId="2" showAll="0"/>
    <pivotField numFmtId="2" showAll="0">
      <items count="9">
        <item x="0"/>
        <item x="1"/>
        <item x="2"/>
        <item x="3"/>
        <item x="4"/>
        <item x="5"/>
        <item x="6"/>
        <item x="7"/>
        <item t="default"/>
      </items>
    </pivotField>
    <pivotField numFmtId="2" showAll="0"/>
    <pivotField numFmtId="2" showAll="0"/>
    <pivotField numFmtId="2" showAll="0"/>
    <pivotField numFmtId="2" showAll="0"/>
    <pivotField numFmtId="2" showAll="0"/>
    <pivotField numFmtId="1" showAll="0"/>
    <pivotField numFmtId="1" showAll="0"/>
    <pivotField dataField="1" numFmtId="10" showAll="0"/>
    <pivotField numFmtId="2" showAll="0"/>
    <pivotField numFmtId="2" showAll="0"/>
    <pivotField numFmtId="2" showAll="0"/>
    <pivotField numFmtId="10"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Goal_Achievement" fld="13"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3E5D40-2D61-4BCF-8AD1-5ADD0B72B295}" name="Focus_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9:B95" firstHeaderRow="1" firstDataRow="1" firstDataCol="1"/>
  <pivotFields count="2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7">
        <item h="1" x="0"/>
        <item h="1" x="1"/>
        <item h="1" x="2"/>
        <item h="1" x="3"/>
        <item h="1" x="4"/>
        <item x="5"/>
        <item t="default"/>
      </items>
    </pivotField>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2" showAll="0"/>
    <pivotField numFmtId="2" showAll="0"/>
    <pivotField numFmtId="2" showAll="0"/>
    <pivotField numFmtId="2" showAll="0"/>
    <pivotField numFmtId="2" showAll="0"/>
    <pivotField numFmtId="2" showAll="0"/>
    <pivotField numFmtId="2" showAll="0"/>
    <pivotField numFmtId="1" showAll="0"/>
    <pivotField numFmtId="1" showAll="0"/>
    <pivotField numFmtId="10" showAll="0"/>
    <pivotField numFmtId="2" showAll="0"/>
    <pivotField numFmtId="2" showAll="0"/>
    <pivotField dataField="1" numFmtId="2" showAll="0"/>
    <pivotField numFmtId="10"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v="21"/>
    </i>
    <i>
      <x v="22"/>
    </i>
    <i>
      <x v="23"/>
    </i>
    <i>
      <x v="24"/>
    </i>
    <i>
      <x v="25"/>
    </i>
    <i t="grand">
      <x/>
    </i>
  </rowItems>
  <colItems count="1">
    <i/>
  </colItems>
  <dataFields count="1">
    <dataField name="Average of Focus_Score" fld="16" subtotal="average" baseField="2"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66C91C-177C-449D-814C-0229F2E4604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7:H67" firstHeaderRow="1" firstDataRow="1" firstDataCol="1"/>
  <pivotFields count="20">
    <pivotField axis="axisRow"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7">
        <item h="1" x="0"/>
        <item h="1" x="1"/>
        <item h="1" x="2"/>
        <item h="1" x="3"/>
        <item h="1" x="4"/>
        <item x="5"/>
        <item t="default"/>
      </items>
    </pivotField>
    <pivotField showAll="0"/>
    <pivotField showAll="0"/>
    <pivotField numFmtId="2" showAll="0"/>
    <pivotField numFmtId="2" showAll="0">
      <items count="9">
        <item x="0"/>
        <item x="1"/>
        <item x="2"/>
        <item x="3"/>
        <item x="4"/>
        <item x="5"/>
        <item x="6"/>
        <item x="7"/>
        <item t="default"/>
      </items>
    </pivotField>
    <pivotField numFmtId="2" showAll="0"/>
    <pivotField numFmtId="2" showAll="0"/>
    <pivotField numFmtId="2" showAll="0"/>
    <pivotField numFmtId="2" showAll="0"/>
    <pivotField numFmtId="2" showAll="0"/>
    <pivotField numFmtId="1" showAll="0"/>
    <pivotField numFmtId="1" showAll="0"/>
    <pivotField numFmtId="10" showAll="0"/>
    <pivotField numFmtId="2" showAll="0"/>
    <pivotField numFmtId="2" showAll="0"/>
    <pivotField numFmtId="2" showAll="0"/>
    <pivotField dataField="1" numFmtId="10"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30">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t="grand">
      <x/>
    </i>
  </rowItems>
  <colItems count="1">
    <i/>
  </colItems>
  <dataFields count="1">
    <dataField name="Average of Productivity_Index" fld="17" subtotal="average" baseField="19" baseItem="1" numFmtId="10"/>
  </dataFields>
  <chartFormats count="2">
    <chartFormat chart="4"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BE9BB5-0492-45C7-8FDE-CC5C9DE621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7:E38" firstHeaderRow="1" firstDataRow="1" firstDataCol="0"/>
  <pivotFields count="2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7">
        <item h="1" x="0"/>
        <item h="1" x="1"/>
        <item h="1" x="2"/>
        <item h="1" x="3"/>
        <item h="1" x="4"/>
        <item x="5"/>
        <item t="default"/>
      </items>
    </pivotField>
    <pivotField showAll="0"/>
    <pivotField showAll="0"/>
    <pivotField numFmtId="2" showAll="0"/>
    <pivotField numFmtId="2" showAll="0">
      <items count="9">
        <item x="0"/>
        <item x="1"/>
        <item x="2"/>
        <item x="3"/>
        <item x="4"/>
        <item x="5"/>
        <item x="6"/>
        <item x="7"/>
        <item t="default"/>
      </items>
    </pivotField>
    <pivotField numFmtId="2" showAll="0"/>
    <pivotField numFmtId="2" showAll="0"/>
    <pivotField numFmtId="2" showAll="0"/>
    <pivotField numFmtId="2" showAll="0"/>
    <pivotField numFmtId="2" showAll="0"/>
    <pivotField numFmtId="1" showAll="0"/>
    <pivotField numFmtId="1" showAll="0"/>
    <pivotField numFmtId="10" showAll="0"/>
    <pivotField numFmtId="2" showAll="0"/>
    <pivotField numFmtId="2" showAll="0"/>
    <pivotField numFmtId="2" showAll="0"/>
    <pivotField dataField="1" numFmtId="10"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Productivity_Index" fld="17"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B98E18-88B7-4ABF-95F4-4E800F3D78E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B60" firstHeaderRow="1" firstDataRow="1" firstDataCol="1"/>
  <pivotFields count="2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pivotField showAll="0"/>
    <pivotField showAll="0"/>
    <pivotField numFmtId="2" showAll="0"/>
    <pivotField axis="axisRow" numFmtId="2" showAll="0">
      <items count="9">
        <item x="0"/>
        <item x="1"/>
        <item x="2"/>
        <item x="3"/>
        <item x="4"/>
        <item x="5"/>
        <item x="6"/>
        <item x="7"/>
        <item t="default"/>
      </items>
    </pivotField>
    <pivotField numFmtId="2" showAll="0"/>
    <pivotField numFmtId="2" showAll="0"/>
    <pivotField numFmtId="2" showAll="0"/>
    <pivotField numFmtId="2" showAll="0"/>
    <pivotField numFmtId="2" showAll="0"/>
    <pivotField numFmtId="1" showAll="0"/>
    <pivotField numFmtId="1" showAll="0"/>
    <pivotField numFmtId="10" showAll="0"/>
    <pivotField dataField="1" numFmtId="2" showAll="0"/>
    <pivotField numFmtId="2" showAll="0"/>
    <pivotField numFmtId="2" showAll="0"/>
    <pivotField numFmtId="10"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v="2"/>
    </i>
    <i>
      <x v="3"/>
    </i>
    <i>
      <x v="4"/>
    </i>
    <i>
      <x v="5"/>
    </i>
    <i t="grand">
      <x/>
    </i>
  </rowItems>
  <colItems count="1">
    <i/>
  </colItems>
  <dataFields count="1">
    <dataField name="Average of Total_Productive_Hours" fld="14" subtotal="average" baseField="5"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D26DB0-7826-4A57-BAC4-54208D3C2BA2}" name="Daily_habit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80:B86" firstHeaderRow="1" firstDataRow="1" firstDataCol="1"/>
  <pivotFields count="15">
    <pivotField numFmtId="22" showAll="0"/>
    <pivotField showAll="0"/>
    <pivotField showAll="0"/>
    <pivotField showAll="0">
      <items count="8">
        <item h="1" x="4"/>
        <item h="1" x="5"/>
        <item h="1" x="6"/>
        <item h="1" x="0"/>
        <item x="1"/>
        <item h="1" x="2"/>
        <item h="1" x="3"/>
        <item t="default"/>
      </items>
    </pivotField>
    <pivotField showAll="0"/>
    <pivotField showAll="0"/>
    <pivotField showAll="0"/>
    <pivotField showAll="0"/>
    <pivotField showAll="0"/>
    <pivotField showAll="0"/>
    <pivotField showAll="0"/>
    <pivotField showAll="0"/>
    <pivotField showAll="0"/>
    <pivotField axis="axisRow" showAll="0">
      <items count="6">
        <item x="2"/>
        <item x="4"/>
        <item x="3"/>
        <item x="1"/>
        <item x="0"/>
        <item t="default"/>
      </items>
    </pivotField>
    <pivotField dataField="1" showAll="0"/>
  </pivotFields>
  <rowFields count="1">
    <field x="13"/>
  </rowFields>
  <rowItems count="6">
    <i>
      <x/>
    </i>
    <i>
      <x v="1"/>
    </i>
    <i>
      <x v="2"/>
    </i>
    <i>
      <x v="3"/>
    </i>
    <i>
      <x v="4"/>
    </i>
    <i t="grand">
      <x/>
    </i>
  </rowItems>
  <colItems count="1">
    <i/>
  </colItems>
  <dataFields count="1">
    <dataField name="Average of Hours" fld="14" subtotal="average" baseField="13" baseItem="0" numFmtId="9"/>
  </dataFields>
  <chartFormats count="51">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3" count="1" selected="0">
            <x v="1"/>
          </reference>
        </references>
      </pivotArea>
    </chartFormat>
    <chartFormat chart="7" format="2">
      <pivotArea type="data" outline="0" fieldPosition="0">
        <references count="2">
          <reference field="4294967294" count="1" selected="0">
            <x v="0"/>
          </reference>
          <reference field="13" count="1" selected="0">
            <x v="0"/>
          </reference>
        </references>
      </pivotArea>
    </chartFormat>
    <chartFormat chart="7" format="3">
      <pivotArea type="data" outline="0" fieldPosition="0">
        <references count="2">
          <reference field="4294967294" count="1" selected="0">
            <x v="0"/>
          </reference>
          <reference field="13" count="1" selected="0">
            <x v="2"/>
          </reference>
        </references>
      </pivotArea>
    </chartFormat>
    <chartFormat chart="7" format="4">
      <pivotArea type="data" outline="0" fieldPosition="0">
        <references count="2">
          <reference field="4294967294" count="1" selected="0">
            <x v="0"/>
          </reference>
          <reference field="13" count="1" selected="0">
            <x v="3"/>
          </reference>
        </references>
      </pivotArea>
    </chartFormat>
    <chartFormat chart="7" format="5">
      <pivotArea type="data" outline="0" fieldPosition="0">
        <references count="2">
          <reference field="4294967294" count="1" selected="0">
            <x v="0"/>
          </reference>
          <reference field="13" count="1" selected="0">
            <x v="4"/>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3" count="1" selected="0">
            <x v="0"/>
          </reference>
        </references>
      </pivotArea>
    </chartFormat>
    <chartFormat chart="9" format="8">
      <pivotArea type="data" outline="0" fieldPosition="0">
        <references count="2">
          <reference field="4294967294" count="1" selected="0">
            <x v="0"/>
          </reference>
          <reference field="13" count="1" selected="0">
            <x v="1"/>
          </reference>
        </references>
      </pivotArea>
    </chartFormat>
    <chartFormat chart="9" format="9">
      <pivotArea type="data" outline="0" fieldPosition="0">
        <references count="2">
          <reference field="4294967294" count="1" selected="0">
            <x v="0"/>
          </reference>
          <reference field="13" count="1" selected="0">
            <x v="2"/>
          </reference>
        </references>
      </pivotArea>
    </chartFormat>
    <chartFormat chart="9" format="10">
      <pivotArea type="data" outline="0" fieldPosition="0">
        <references count="2">
          <reference field="4294967294" count="1" selected="0">
            <x v="0"/>
          </reference>
          <reference field="13" count="1" selected="0">
            <x v="3"/>
          </reference>
        </references>
      </pivotArea>
    </chartFormat>
    <chartFormat chart="9" format="11">
      <pivotArea type="data" outline="0" fieldPosition="0">
        <references count="2">
          <reference field="4294967294" count="1" selected="0">
            <x v="0"/>
          </reference>
          <reference field="13" count="1" selected="0">
            <x v="4"/>
          </reference>
        </references>
      </pivotArea>
    </chartFormat>
    <chartFormat chart="5" format="30" series="1">
      <pivotArea type="data" outline="0" fieldPosition="0">
        <references count="1">
          <reference field="4294967294" count="1" selected="0">
            <x v="0"/>
          </reference>
        </references>
      </pivotArea>
    </chartFormat>
    <chartFormat chart="5" format="31">
      <pivotArea type="data" outline="0" fieldPosition="0">
        <references count="2">
          <reference field="4294967294" count="1" selected="0">
            <x v="0"/>
          </reference>
          <reference field="13" count="1" selected="0">
            <x v="0"/>
          </reference>
        </references>
      </pivotArea>
    </chartFormat>
    <chartFormat chart="5" format="32">
      <pivotArea type="data" outline="0" fieldPosition="0">
        <references count="2">
          <reference field="4294967294" count="1" selected="0">
            <x v="0"/>
          </reference>
          <reference field="13" count="1" selected="0">
            <x v="1"/>
          </reference>
        </references>
      </pivotArea>
    </chartFormat>
    <chartFormat chart="5" format="33">
      <pivotArea type="data" outline="0" fieldPosition="0">
        <references count="2">
          <reference field="4294967294" count="1" selected="0">
            <x v="0"/>
          </reference>
          <reference field="13" count="1" selected="0">
            <x v="2"/>
          </reference>
        </references>
      </pivotArea>
    </chartFormat>
    <chartFormat chart="5" format="34">
      <pivotArea type="data" outline="0" fieldPosition="0">
        <references count="2">
          <reference field="4294967294" count="1" selected="0">
            <x v="0"/>
          </reference>
          <reference field="13" count="1" selected="0">
            <x v="3"/>
          </reference>
        </references>
      </pivotArea>
    </chartFormat>
    <chartFormat chart="5" format="35">
      <pivotArea type="data" outline="0" fieldPosition="0">
        <references count="2">
          <reference field="4294967294" count="1" selected="0">
            <x v="0"/>
          </reference>
          <reference field="13" count="1" selected="0">
            <x v="4"/>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3" count="1" selected="0">
            <x v="2"/>
          </reference>
        </references>
      </pivotArea>
    </chartFormat>
    <chartFormat chart="14" format="2">
      <pivotArea type="data" outline="0" fieldPosition="0">
        <references count="2">
          <reference field="4294967294" count="1" selected="0">
            <x v="0"/>
          </reference>
          <reference field="13" count="1" selected="0">
            <x v="1"/>
          </reference>
        </references>
      </pivotArea>
    </chartFormat>
    <chartFormat chart="14" format="3">
      <pivotArea type="data" outline="0" fieldPosition="0">
        <references count="2">
          <reference field="4294967294" count="1" selected="0">
            <x v="0"/>
          </reference>
          <reference field="13" count="1" selected="0">
            <x v="0"/>
          </reference>
        </references>
      </pivotArea>
    </chartFormat>
    <chartFormat chart="14" format="4">
      <pivotArea type="data" outline="0" fieldPosition="0">
        <references count="2">
          <reference field="4294967294" count="1" selected="0">
            <x v="0"/>
          </reference>
          <reference field="13" count="1" selected="0">
            <x v="4"/>
          </reference>
        </references>
      </pivotArea>
    </chartFormat>
    <chartFormat chart="14" format="5">
      <pivotArea type="data" outline="0" fieldPosition="0">
        <references count="2">
          <reference field="4294967294" count="1" selected="0">
            <x v="0"/>
          </reference>
          <reference field="13"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3" count="1" selected="0">
            <x v="0"/>
          </reference>
        </references>
      </pivotArea>
    </chartFormat>
    <chartFormat chart="16" format="8">
      <pivotArea type="data" outline="0" fieldPosition="0">
        <references count="2">
          <reference field="4294967294" count="1" selected="0">
            <x v="0"/>
          </reference>
          <reference field="13" count="1" selected="0">
            <x v="1"/>
          </reference>
        </references>
      </pivotArea>
    </chartFormat>
    <chartFormat chart="16" format="9">
      <pivotArea type="data" outline="0" fieldPosition="0">
        <references count="2">
          <reference field="4294967294" count="1" selected="0">
            <x v="0"/>
          </reference>
          <reference field="13" count="1" selected="0">
            <x v="2"/>
          </reference>
        </references>
      </pivotArea>
    </chartFormat>
    <chartFormat chart="16" format="10">
      <pivotArea type="data" outline="0" fieldPosition="0">
        <references count="2">
          <reference field="4294967294" count="1" selected="0">
            <x v="0"/>
          </reference>
          <reference field="13" count="1" selected="0">
            <x v="3"/>
          </reference>
        </references>
      </pivotArea>
    </chartFormat>
    <chartFormat chart="16" format="11">
      <pivotArea type="data" outline="0" fieldPosition="0">
        <references count="2">
          <reference field="4294967294" count="1" selected="0">
            <x v="0"/>
          </reference>
          <reference field="13" count="1" selected="0">
            <x v="4"/>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3" count="1" selected="0">
            <x v="0"/>
          </reference>
        </references>
      </pivotArea>
    </chartFormat>
    <chartFormat chart="17" format="14">
      <pivotArea type="data" outline="0" fieldPosition="0">
        <references count="2">
          <reference field="4294967294" count="1" selected="0">
            <x v="0"/>
          </reference>
          <reference field="13" count="1" selected="0">
            <x v="1"/>
          </reference>
        </references>
      </pivotArea>
    </chartFormat>
    <chartFormat chart="17" format="15">
      <pivotArea type="data" outline="0" fieldPosition="0">
        <references count="2">
          <reference field="4294967294" count="1" selected="0">
            <x v="0"/>
          </reference>
          <reference field="13" count="1" selected="0">
            <x v="2"/>
          </reference>
        </references>
      </pivotArea>
    </chartFormat>
    <chartFormat chart="17" format="16">
      <pivotArea type="data" outline="0" fieldPosition="0">
        <references count="2">
          <reference field="4294967294" count="1" selected="0">
            <x v="0"/>
          </reference>
          <reference field="13" count="1" selected="0">
            <x v="3"/>
          </reference>
        </references>
      </pivotArea>
    </chartFormat>
    <chartFormat chart="17" format="17">
      <pivotArea type="data" outline="0" fieldPosition="0">
        <references count="2">
          <reference field="4294967294" count="1" selected="0">
            <x v="0"/>
          </reference>
          <reference field="13" count="1" selected="0">
            <x v="4"/>
          </reference>
        </references>
      </pivotArea>
    </chartFormat>
    <chartFormat chart="19" format="0"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0"/>
          </reference>
        </references>
      </pivotArea>
    </chartFormat>
    <chartFormat chart="29" format="8">
      <pivotArea type="data" outline="0" fieldPosition="0">
        <references count="2">
          <reference field="4294967294" count="1" selected="0">
            <x v="0"/>
          </reference>
          <reference field="13" count="1" selected="0">
            <x v="0"/>
          </reference>
        </references>
      </pivotArea>
    </chartFormat>
    <chartFormat chart="29" format="9">
      <pivotArea type="data" outline="0" fieldPosition="0">
        <references count="2">
          <reference field="4294967294" count="1" selected="0">
            <x v="0"/>
          </reference>
          <reference field="13" count="1" selected="0">
            <x v="1"/>
          </reference>
        </references>
      </pivotArea>
    </chartFormat>
    <chartFormat chart="29" format="10">
      <pivotArea type="data" outline="0" fieldPosition="0">
        <references count="2">
          <reference field="4294967294" count="1" selected="0">
            <x v="0"/>
          </reference>
          <reference field="13" count="1" selected="0">
            <x v="2"/>
          </reference>
        </references>
      </pivotArea>
    </chartFormat>
    <chartFormat chart="29" format="11">
      <pivotArea type="data" outline="0" fieldPosition="0">
        <references count="2">
          <reference field="4294967294" count="1" selected="0">
            <x v="0"/>
          </reference>
          <reference field="13" count="1" selected="0">
            <x v="3"/>
          </reference>
        </references>
      </pivotArea>
    </chartFormat>
    <chartFormat chart="29" format="12">
      <pivotArea type="data" outline="0" fieldPosition="0">
        <references count="2">
          <reference field="4294967294" count="1" selected="0">
            <x v="0"/>
          </reference>
          <reference field="13" count="1" selected="0">
            <x v="4"/>
          </reference>
        </references>
      </pivotArea>
    </chartFormat>
    <chartFormat chart="30"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0" format="2">
      <pivotArea type="data" outline="0" fieldPosition="0">
        <references count="2">
          <reference field="4294967294" count="1" selected="0">
            <x v="0"/>
          </reference>
          <reference field="13" count="1" selected="0">
            <x v="0"/>
          </reference>
        </references>
      </pivotArea>
    </chartFormat>
    <chartFormat chart="40" format="3">
      <pivotArea type="data" outline="0" fieldPosition="0">
        <references count="2">
          <reference field="4294967294" count="1" selected="0">
            <x v="0"/>
          </reference>
          <reference field="13" count="1" selected="0">
            <x v="1"/>
          </reference>
        </references>
      </pivotArea>
    </chartFormat>
    <chartFormat chart="40" format="4">
      <pivotArea type="data" outline="0" fieldPosition="0">
        <references count="2">
          <reference field="4294967294" count="1" selected="0">
            <x v="0"/>
          </reference>
          <reference field="13" count="1" selected="0">
            <x v="2"/>
          </reference>
        </references>
      </pivotArea>
    </chartFormat>
    <chartFormat chart="40" format="5">
      <pivotArea type="data" outline="0" fieldPosition="0">
        <references count="2">
          <reference field="4294967294" count="1" selected="0">
            <x v="0"/>
          </reference>
          <reference field="13" count="1" selected="0">
            <x v="3"/>
          </reference>
        </references>
      </pivotArea>
    </chartFormat>
    <chartFormat chart="40" format="6">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C64C95-DA0F-47AD-B19E-F4CE9AE5A67F}" name="Monthly_Performanc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13:C14" firstHeaderRow="0" firstDataRow="1" firstDataCol="0"/>
  <pivotFields count="2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7">
        <item h="1" x="0"/>
        <item h="1" x="1"/>
        <item h="1" x="2"/>
        <item h="1" x="3"/>
        <item h="1" x="4"/>
        <item x="5"/>
        <item t="default"/>
      </items>
    </pivotField>
    <pivotField showAll="0"/>
    <pivotField showAll="0">
      <items count="8">
        <item x="4"/>
        <item x="5"/>
        <item x="6"/>
        <item x="0"/>
        <item x="1"/>
        <item x="2"/>
        <item x="3"/>
        <item t="default"/>
      </items>
    </pivotField>
    <pivotField dataField="1" numFmtId="2" showAll="0"/>
    <pivotField dataField="1" numFmtId="2" showAll="0">
      <items count="9">
        <item x="0"/>
        <item x="1"/>
        <item x="2"/>
        <item x="3"/>
        <item x="4"/>
        <item x="5"/>
        <item x="6"/>
        <item x="7"/>
        <item t="default"/>
      </items>
    </pivotField>
    <pivotField numFmtId="2" showAll="0"/>
    <pivotField numFmtId="2" showAll="0"/>
    <pivotField numFmtId="2" showAll="0"/>
    <pivotField numFmtId="2" showAll="0"/>
    <pivotField numFmtId="2" showAll="0"/>
    <pivotField numFmtId="1" showAll="0"/>
    <pivotField numFmtId="1" showAll="0"/>
    <pivotField numFmtId="10" showAll="0"/>
    <pivotField numFmtId="2" showAll="0"/>
    <pivotField numFmtId="2" showAll="0"/>
    <pivotField dataField="1" numFmtId="2" showAll="0"/>
    <pivotField numFmtId="10"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Average of Study_Hours" fld="4" subtotal="average" baseField="0" baseItem="1" numFmtId="2"/>
    <dataField name="Average of Focus_Score" fld="16" subtotal="average" baseField="0" baseItem="1" numFmtId="2"/>
    <dataField name="Average of Sleep_Hours" fld="5" subtotal="average" baseField="0" baseItem="1" numFmtId="2"/>
  </dataFields>
  <chartFormats count="6">
    <chartFormat chart="2" format="5"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B37BDF-3457-486D-A696-AFB2EC2780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5:E46" firstHeaderRow="1" firstDataRow="1" firstDataCol="0"/>
  <pivotFields count="2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7">
        <item h="1" x="0"/>
        <item h="1" x="1"/>
        <item h="1" x="2"/>
        <item h="1" x="3"/>
        <item h="1" x="4"/>
        <item x="5"/>
        <item t="default"/>
      </items>
    </pivotField>
    <pivotField showAll="0"/>
    <pivotField showAll="0"/>
    <pivotField dataField="1" numFmtId="2" showAll="0"/>
    <pivotField numFmtId="2" showAll="0">
      <items count="9">
        <item x="0"/>
        <item x="1"/>
        <item x="2"/>
        <item x="3"/>
        <item x="4"/>
        <item x="5"/>
        <item x="6"/>
        <item x="7"/>
        <item t="default"/>
      </items>
    </pivotField>
    <pivotField numFmtId="2" showAll="0"/>
    <pivotField numFmtId="2" showAll="0"/>
    <pivotField numFmtId="2" showAll="0"/>
    <pivotField numFmtId="2" showAll="0"/>
    <pivotField numFmtId="2" showAll="0"/>
    <pivotField numFmtId="1" showAll="0"/>
    <pivotField numFmtId="1" showAll="0"/>
    <pivotField numFmtId="10" showAll="0"/>
    <pivotField numFmtId="2" showAll="0"/>
    <pivotField numFmtId="2" showAll="0"/>
    <pivotField numFmtId="2" showAll="0"/>
    <pivotField numFmtId="10"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Study_Hours"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816493-DCAF-42D4-94FF-97070C0BEC1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37:L67" firstHeaderRow="1" firstDataRow="1" firstDataCol="1"/>
  <pivotFields count="20">
    <pivotField axis="axisRow"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7">
        <item h="1" x="0"/>
        <item h="1" x="1"/>
        <item h="1" x="2"/>
        <item h="1" x="3"/>
        <item h="1" x="4"/>
        <item x="5"/>
        <item t="default"/>
      </items>
    </pivotField>
    <pivotField showAll="0"/>
    <pivotField showAll="0"/>
    <pivotField numFmtId="2" showAll="0"/>
    <pivotField numFmtId="2" showAll="0">
      <items count="9">
        <item x="0"/>
        <item x="1"/>
        <item x="2"/>
        <item x="3"/>
        <item x="4"/>
        <item x="5"/>
        <item x="6"/>
        <item x="7"/>
        <item t="default"/>
      </items>
    </pivotField>
    <pivotField numFmtId="2" showAll="0"/>
    <pivotField numFmtId="2" showAll="0"/>
    <pivotField numFmtId="2" showAll="0"/>
    <pivotField numFmtId="2" showAll="0"/>
    <pivotField numFmtId="2" showAll="0"/>
    <pivotField numFmtId="1" showAll="0"/>
    <pivotField numFmtId="1" showAll="0"/>
    <pivotField dataField="1" numFmtId="10" showAll="0"/>
    <pivotField numFmtId="2" showAll="0"/>
    <pivotField numFmtId="2" showAll="0"/>
    <pivotField numFmtId="2" showAll="0"/>
    <pivotField numFmtId="10"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30">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t="grand">
      <x/>
    </i>
  </rowItems>
  <colItems count="1">
    <i/>
  </colItems>
  <dataFields count="1">
    <dataField name="Average of Goal_Achievement" fld="13" subtotal="average" baseField="0" baseItem="0" numFmtId="10"/>
  </dataFields>
  <chartFormats count="2">
    <chartFormat chart="4" format="2"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B52D6A-82A3-43F1-91EC-F898A8BCC37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37:P67" firstHeaderRow="1" firstDataRow="1" firstDataCol="1"/>
  <pivotFields count="20">
    <pivotField axis="axisRow"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7">
        <item h="1" x="0"/>
        <item h="1" x="1"/>
        <item h="1" x="2"/>
        <item h="1" x="3"/>
        <item h="1" x="4"/>
        <item x="5"/>
        <item t="default"/>
      </items>
    </pivotField>
    <pivotField showAll="0"/>
    <pivotField showAll="0"/>
    <pivotField dataField="1" numFmtId="2" showAll="0"/>
    <pivotField numFmtId="2" showAll="0">
      <items count="9">
        <item x="0"/>
        <item x="1"/>
        <item x="2"/>
        <item x="3"/>
        <item x="4"/>
        <item x="5"/>
        <item x="6"/>
        <item x="7"/>
        <item t="default"/>
      </items>
    </pivotField>
    <pivotField numFmtId="2" showAll="0"/>
    <pivotField numFmtId="2" showAll="0"/>
    <pivotField numFmtId="2" showAll="0"/>
    <pivotField numFmtId="2" showAll="0"/>
    <pivotField numFmtId="2" showAll="0"/>
    <pivotField numFmtId="1" showAll="0"/>
    <pivotField numFmtId="1" showAll="0"/>
    <pivotField numFmtId="10" showAll="0"/>
    <pivotField numFmtId="2" showAll="0"/>
    <pivotField numFmtId="2" showAll="0"/>
    <pivotField numFmtId="2" showAll="0"/>
    <pivotField numFmtId="10"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30">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t="grand">
      <x/>
    </i>
  </rowItems>
  <colItems count="1">
    <i/>
  </colItems>
  <dataFields count="1">
    <dataField name="Average of Study_Hours" fld="4" subtotal="average" baseField="19" baseItem="1" numFmtId="2"/>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CF69F0F-03BE-4935-B133-A94A0E921299}" name="weekly_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3:D69" firstHeaderRow="0" firstDataRow="1" firstDataCol="1"/>
  <pivotFields count="2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7">
        <item h="1" x="0"/>
        <item h="1" x="1"/>
        <item h="1" x="2"/>
        <item h="1" x="3"/>
        <item h="1" x="4"/>
        <item x="5"/>
        <item t="default"/>
      </items>
    </pivotField>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8">
        <item x="4"/>
        <item h="1" x="5"/>
        <item h="1" x="6"/>
        <item h="1" x="0"/>
        <item h="1" x="1"/>
        <item h="1" x="2"/>
        <item h="1" x="3"/>
        <item t="default"/>
      </items>
    </pivotField>
    <pivotField numFmtId="2" showAll="0"/>
    <pivotField numFmtId="2" showAll="0"/>
    <pivotField numFmtId="2" showAll="0"/>
    <pivotField numFmtId="2" showAll="0"/>
    <pivotField numFmtId="2" showAll="0"/>
    <pivotField numFmtId="2" showAll="0"/>
    <pivotField numFmtId="2" showAll="0"/>
    <pivotField numFmtId="1" showAll="0"/>
    <pivotField dataField="1" numFmtId="1" showAll="0"/>
    <pivotField dataField="1" numFmtId="10" showAll="0"/>
    <pivotField dataField="1" numFmtId="2" showAll="0"/>
    <pivotField numFmtId="2" showAll="0"/>
    <pivotField numFmtId="2" showAll="0"/>
    <pivotField numFmtId="10"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6">
    <i>
      <x v="21"/>
    </i>
    <i>
      <x v="22"/>
    </i>
    <i>
      <x v="23"/>
    </i>
    <i>
      <x v="24"/>
    </i>
    <i>
      <x v="25"/>
    </i>
    <i t="grand">
      <x/>
    </i>
  </rowItems>
  <colFields count="1">
    <field x="-2"/>
  </colFields>
  <colItems count="3">
    <i>
      <x/>
    </i>
    <i i="1">
      <x v="1"/>
    </i>
    <i i="2">
      <x v="2"/>
    </i>
  </colItems>
  <dataFields count="3">
    <dataField name="Sum of Planned Hours " fld="12" baseField="0" baseItem="0" numFmtId="1"/>
    <dataField name="Sum of Total_Productive_Hours" fld="14" baseField="0" baseItem="0" numFmtId="2"/>
    <dataField name="Average of Goal_Achievement" fld="13" subtotal="average" baseField="2" baseItem="5" numFmtId="10"/>
  </dataFields>
  <chartFormats count="12">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6"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1"/>
          </reference>
        </references>
      </pivotArea>
    </chartFormat>
    <chartFormat chart="16" format="5" series="1">
      <pivotArea type="data" outline="0" fieldPosition="0">
        <references count="1">
          <reference field="4294967294" count="1" selected="0">
            <x v="2"/>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800821C-27A4-46F4-92B9-EAAF7EDB4F3E}" name="impact_on_stud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0:C106" firstHeaderRow="0" firstDataRow="1" firstDataCol="1"/>
  <pivotFields count="20">
    <pivotField numFmtId="164"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items count="7">
        <item h="1" x="0"/>
        <item h="1" x="1"/>
        <item h="1" x="2"/>
        <item h="1" x="3"/>
        <item h="1" x="4"/>
        <item x="5"/>
        <item t="default"/>
      </items>
    </pivotField>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dataField="1" numFmtId="2" showAll="0"/>
    <pivotField numFmtId="2" showAll="0"/>
    <pivotField numFmtId="2" showAll="0"/>
    <pivotField dataField="1" numFmtId="2" showAll="0"/>
    <pivotField numFmtId="2" showAll="0"/>
    <pivotField numFmtId="2" showAll="0"/>
    <pivotField numFmtId="2" showAll="0"/>
    <pivotField numFmtId="1" showAll="0"/>
    <pivotField numFmtId="1" showAll="0"/>
    <pivotField numFmtId="10" showAll="0"/>
    <pivotField numFmtId="2" showAll="0"/>
    <pivotField numFmtId="2" showAll="0"/>
    <pivotField numFmtId="2" showAll="0"/>
    <pivotField numFmtId="10"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6">
    <i>
      <x v="21"/>
    </i>
    <i>
      <x v="22"/>
    </i>
    <i>
      <x v="23"/>
    </i>
    <i>
      <x v="24"/>
    </i>
    <i>
      <x v="25"/>
    </i>
    <i t="grand">
      <x/>
    </i>
  </rowItems>
  <colFields count="1">
    <field x="-2"/>
  </colFields>
  <colItems count="2">
    <i>
      <x/>
    </i>
    <i i="1">
      <x v="1"/>
    </i>
  </colItems>
  <dataFields count="2">
    <dataField name="Average of Study_Hours" fld="4" subtotal="average" baseField="19" baseItem="1" numFmtId="2"/>
    <dataField name="Average of Mobile_Hours" fld="7" subtotal="average" baseField="19" baseItem="1" numFmtId="2"/>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D2CBE97D-A588-48C0-8FEB-84FA9685EA39}" sourceName="Day">
  <pivotTables>
    <pivotTable tabId="8" name="Daily_habits"/>
  </pivotTables>
  <data>
    <tabular pivotCacheId="1029088163">
      <items count="7">
        <i x="4"/>
        <i x="5"/>
        <i x="6"/>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9910CFB-5612-4900-AE21-D6453CD5EB0B}" sourceName="Month">
  <pivotTables>
    <pivotTable tabId="8" name="PivotTable2"/>
    <pivotTable tabId="8" name="PivotTable3"/>
    <pivotTable tabId="8" name="PivotTable4"/>
    <pivotTable tabId="8" name="PivotTable5"/>
    <pivotTable tabId="8" name="PivotTable10"/>
    <pivotTable tabId="8" name="PivotTable11"/>
    <pivotTable tabId="8" name="weekly_performance"/>
    <pivotTable tabId="8" name="Focus_Score"/>
    <pivotTable tabId="8" name="Monthly_Performance"/>
    <pivotTable tabId="8" name="impact_on_study"/>
  </pivotTables>
  <data>
    <tabular pivotCacheId="1427997017">
      <items count="6">
        <i x="0"/>
        <i x="1"/>
        <i x="2"/>
        <i x="3"/>
        <i x="4"/>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BBBC4299-9124-484D-9904-D8482EEE4E24}" cache="Slicer_Day" caption="Day" showCaption="0" style="SlicerStyleDark2" rowHeight="234950"/>
  <slicer name="Month" xr10:uid="{779DD8C6-DAB3-42B8-AB4E-F7D41BDF176A}" cache="Slicer_Month" caption="Month" showCaption="0"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82775-AF07-4342-A0B7-EF5240065955}">
  <dimension ref="A3:C10"/>
  <sheetViews>
    <sheetView workbookViewId="0">
      <selection activeCell="C8" sqref="C8"/>
    </sheetView>
  </sheetViews>
  <sheetFormatPr defaultRowHeight="14.4" x14ac:dyDescent="0.3"/>
  <cols>
    <col min="1" max="1" width="12.5546875" bestFit="1" customWidth="1"/>
    <col min="2" max="2" width="18.44140625" bestFit="1" customWidth="1"/>
    <col min="3" max="3" width="26.88671875" bestFit="1" customWidth="1"/>
  </cols>
  <sheetData>
    <row r="3" spans="1:3" x14ac:dyDescent="0.3">
      <c r="A3" s="6" t="s">
        <v>25</v>
      </c>
      <c r="B3" t="s">
        <v>33</v>
      </c>
      <c r="C3" t="s">
        <v>35</v>
      </c>
    </row>
    <row r="4" spans="1:3" x14ac:dyDescent="0.3">
      <c r="A4" s="7" t="s">
        <v>27</v>
      </c>
      <c r="B4" s="1">
        <v>106.11999999999999</v>
      </c>
      <c r="C4" s="8">
        <v>0.47878643018406203</v>
      </c>
    </row>
    <row r="5" spans="1:3" x14ac:dyDescent="0.3">
      <c r="A5" s="7" t="s">
        <v>28</v>
      </c>
      <c r="B5" s="1">
        <v>96.340000000000032</v>
      </c>
      <c r="C5" s="8">
        <v>0.52775769345302781</v>
      </c>
    </row>
    <row r="6" spans="1:3" x14ac:dyDescent="0.3">
      <c r="A6" s="7" t="s">
        <v>29</v>
      </c>
      <c r="B6" s="1">
        <v>99.170000000000016</v>
      </c>
      <c r="C6" s="8">
        <v>0.46990341789560497</v>
      </c>
    </row>
    <row r="7" spans="1:3" x14ac:dyDescent="0.3">
      <c r="A7" s="7" t="s">
        <v>30</v>
      </c>
      <c r="B7" s="1">
        <v>103.12</v>
      </c>
      <c r="C7" s="8">
        <v>0.49488903526229067</v>
      </c>
    </row>
    <row r="8" spans="1:3" x14ac:dyDescent="0.3">
      <c r="A8" s="7" t="s">
        <v>31</v>
      </c>
      <c r="B8" s="1">
        <v>109.08999999999999</v>
      </c>
      <c r="C8" s="8">
        <v>0.4951683737637716</v>
      </c>
    </row>
    <row r="9" spans="1:3" x14ac:dyDescent="0.3">
      <c r="A9" s="7" t="s">
        <v>32</v>
      </c>
      <c r="B9" s="1">
        <v>119.27000000000004</v>
      </c>
      <c r="C9" s="8">
        <v>0.53529430051663796</v>
      </c>
    </row>
    <row r="10" spans="1:3" x14ac:dyDescent="0.3">
      <c r="A10" s="7" t="s">
        <v>26</v>
      </c>
      <c r="B10" s="1">
        <v>633.10999999999967</v>
      </c>
      <c r="C10" s="8">
        <v>0.49948347814823646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9F71B-8D99-4105-A6B6-5365EFC6F02C}">
  <dimension ref="A3:D10"/>
  <sheetViews>
    <sheetView workbookViewId="0">
      <selection activeCell="C9" sqref="C9"/>
    </sheetView>
  </sheetViews>
  <sheetFormatPr defaultRowHeight="14.4" x14ac:dyDescent="0.3"/>
  <cols>
    <col min="1" max="1" width="12.5546875" bestFit="1" customWidth="1"/>
    <col min="2" max="2" width="28.109375" bestFit="1" customWidth="1"/>
    <col min="3" max="3" width="25.21875" bestFit="1" customWidth="1"/>
    <col min="4" max="4" width="17.88671875" bestFit="1" customWidth="1"/>
  </cols>
  <sheetData>
    <row r="3" spans="1:4" x14ac:dyDescent="0.3">
      <c r="A3" s="6" t="s">
        <v>25</v>
      </c>
      <c r="B3" t="s">
        <v>36</v>
      </c>
      <c r="C3" t="s">
        <v>37</v>
      </c>
      <c r="D3" t="s">
        <v>38</v>
      </c>
    </row>
    <row r="4" spans="1:4" x14ac:dyDescent="0.3">
      <c r="A4" s="7" t="s">
        <v>27</v>
      </c>
      <c r="B4" s="1">
        <v>168.47000000000003</v>
      </c>
      <c r="C4" s="1">
        <v>180.74</v>
      </c>
      <c r="D4" s="1">
        <v>0.48243177457690217</v>
      </c>
    </row>
    <row r="5" spans="1:4" x14ac:dyDescent="0.3">
      <c r="A5" s="7" t="s">
        <v>28</v>
      </c>
      <c r="B5" s="1">
        <v>162.68</v>
      </c>
      <c r="C5" s="1">
        <v>149.30000000000001</v>
      </c>
      <c r="D5" s="1">
        <v>0.52144368228732607</v>
      </c>
    </row>
    <row r="6" spans="1:4" x14ac:dyDescent="0.3">
      <c r="A6" s="7" t="s">
        <v>29</v>
      </c>
      <c r="B6" s="1">
        <v>155.05999999999997</v>
      </c>
      <c r="C6" s="1">
        <v>171.13000000000002</v>
      </c>
      <c r="D6" s="1">
        <v>0.47536711732425879</v>
      </c>
    </row>
    <row r="7" spans="1:4" x14ac:dyDescent="0.3">
      <c r="A7" s="7" t="s">
        <v>30</v>
      </c>
      <c r="B7" s="1">
        <v>162.38999999999999</v>
      </c>
      <c r="C7" s="1">
        <v>166.79000000000002</v>
      </c>
      <c r="D7" s="1">
        <v>0.49331672641108204</v>
      </c>
    </row>
    <row r="8" spans="1:4" x14ac:dyDescent="0.3">
      <c r="A8" s="7" t="s">
        <v>31</v>
      </c>
      <c r="B8" s="1">
        <v>177.23</v>
      </c>
      <c r="C8" s="1">
        <v>180.22000000000003</v>
      </c>
      <c r="D8" s="1">
        <v>0.49581759686669458</v>
      </c>
    </row>
    <row r="9" spans="1:4" x14ac:dyDescent="0.3">
      <c r="A9" s="7" t="s">
        <v>32</v>
      </c>
      <c r="B9" s="1">
        <v>176.12000000000003</v>
      </c>
      <c r="C9" s="1">
        <v>153.70000000000002</v>
      </c>
      <c r="D9" s="1">
        <v>0.53398823600751932</v>
      </c>
    </row>
    <row r="10" spans="1:4" x14ac:dyDescent="0.3">
      <c r="A10" s="7" t="s">
        <v>26</v>
      </c>
      <c r="B10" s="1">
        <v>1001.95</v>
      </c>
      <c r="C10" s="1">
        <v>1001.8800000000001</v>
      </c>
      <c r="D10" s="1">
        <v>0.50001746655155388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540D3-82CA-4AD3-8A88-2656FA6EBDED}">
  <dimension ref="A13:P106"/>
  <sheetViews>
    <sheetView topLeftCell="A65" zoomScale="63" workbookViewId="0">
      <selection activeCell="O18" sqref="O18"/>
    </sheetView>
  </sheetViews>
  <sheetFormatPr defaultRowHeight="14.4" x14ac:dyDescent="0.3"/>
  <cols>
    <col min="1" max="1" width="14.5546875" bestFit="1" customWidth="1"/>
    <col min="2" max="2" width="22.88671875" bestFit="1" customWidth="1"/>
    <col min="3" max="3" width="23.88671875" bestFit="1" customWidth="1"/>
    <col min="4" max="4" width="28.5546875" bestFit="1" customWidth="1"/>
    <col min="5" max="5" width="22.88671875" bestFit="1" customWidth="1"/>
    <col min="6" max="6" width="21.33203125" bestFit="1" customWidth="1"/>
    <col min="7" max="7" width="14.5546875" bestFit="1" customWidth="1"/>
    <col min="8" max="8" width="28.109375" bestFit="1" customWidth="1"/>
    <col min="9" max="10" width="4.5546875" bestFit="1" customWidth="1"/>
    <col min="11" max="11" width="14.5546875" bestFit="1" customWidth="1"/>
    <col min="12" max="12" width="28.5546875" bestFit="1" customWidth="1"/>
    <col min="13" max="14" width="4.5546875" bestFit="1" customWidth="1"/>
    <col min="15" max="15" width="14.5546875" bestFit="1" customWidth="1"/>
    <col min="16" max="16" width="22.88671875" bestFit="1" customWidth="1"/>
    <col min="17" max="152" width="4.5546875" bestFit="1" customWidth="1"/>
    <col min="153" max="153" width="10.77734375" bestFit="1" customWidth="1"/>
  </cols>
  <sheetData>
    <row r="13" spans="1:3" x14ac:dyDescent="0.3">
      <c r="A13" t="s">
        <v>34</v>
      </c>
      <c r="B13" t="s">
        <v>40</v>
      </c>
      <c r="C13" t="s">
        <v>47</v>
      </c>
    </row>
    <row r="14" spans="1:3" x14ac:dyDescent="0.3">
      <c r="A14" s="1">
        <v>4.1127586206896556</v>
      </c>
      <c r="B14" s="1">
        <v>3.4813448275862076</v>
      </c>
      <c r="C14" s="1">
        <v>6.8979310344827587</v>
      </c>
    </row>
    <row r="37" spans="5:16" x14ac:dyDescent="0.3">
      <c r="E37" t="s">
        <v>35</v>
      </c>
      <c r="G37" s="6" t="s">
        <v>25</v>
      </c>
      <c r="H37" t="s">
        <v>35</v>
      </c>
      <c r="K37" s="6" t="s">
        <v>25</v>
      </c>
      <c r="L37" t="s">
        <v>39</v>
      </c>
      <c r="O37" s="6" t="s">
        <v>25</v>
      </c>
      <c r="P37" t="s">
        <v>34</v>
      </c>
    </row>
    <row r="38" spans="5:16" x14ac:dyDescent="0.3">
      <c r="E38" s="8">
        <v>0.53529430051663784</v>
      </c>
      <c r="G38" s="9">
        <v>45809</v>
      </c>
      <c r="H38" s="3">
        <v>0.53203342618384397</v>
      </c>
      <c r="K38" s="9">
        <v>45809</v>
      </c>
      <c r="L38" s="3">
        <v>0.76400000000000001</v>
      </c>
      <c r="O38" s="9">
        <v>45809</v>
      </c>
      <c r="P38" s="1">
        <v>2.27</v>
      </c>
    </row>
    <row r="39" spans="5:16" x14ac:dyDescent="0.3">
      <c r="G39" s="9">
        <v>45810</v>
      </c>
      <c r="H39" s="3">
        <v>0.3786488740617181</v>
      </c>
      <c r="K39" s="9">
        <v>45810</v>
      </c>
      <c r="L39" s="3">
        <v>0.64857142857142869</v>
      </c>
      <c r="O39" s="9">
        <v>45810</v>
      </c>
      <c r="P39" s="1">
        <v>4.24</v>
      </c>
    </row>
    <row r="40" spans="5:16" x14ac:dyDescent="0.3">
      <c r="G40" s="9">
        <v>45811</v>
      </c>
      <c r="H40" s="3">
        <v>0.54387417218543044</v>
      </c>
      <c r="K40" s="9">
        <v>45811</v>
      </c>
      <c r="L40" s="3">
        <v>0.93857142857142861</v>
      </c>
      <c r="O40" s="9">
        <v>45811</v>
      </c>
      <c r="P40" s="1">
        <v>5.17</v>
      </c>
    </row>
    <row r="41" spans="5:16" x14ac:dyDescent="0.3">
      <c r="E41" t="s">
        <v>39</v>
      </c>
      <c r="G41" s="9">
        <v>45812</v>
      </c>
      <c r="H41" s="3">
        <v>0.53929712460063894</v>
      </c>
      <c r="K41" s="9">
        <v>45812</v>
      </c>
      <c r="L41" s="3">
        <v>1</v>
      </c>
      <c r="O41" s="9">
        <v>45812</v>
      </c>
      <c r="P41" s="1">
        <v>5.21</v>
      </c>
    </row>
    <row r="42" spans="5:16" x14ac:dyDescent="0.3">
      <c r="E42" s="3">
        <v>0.8750147783251232</v>
      </c>
      <c r="G42" s="9">
        <v>45813</v>
      </c>
      <c r="H42" s="3">
        <v>0.41108786610878661</v>
      </c>
      <c r="K42" s="9">
        <v>45813</v>
      </c>
      <c r="L42" s="3">
        <v>0.56142857142857139</v>
      </c>
      <c r="O42" s="9">
        <v>45813</v>
      </c>
      <c r="P42" s="1">
        <v>2.62</v>
      </c>
    </row>
    <row r="43" spans="5:16" x14ac:dyDescent="0.3">
      <c r="G43" s="9">
        <v>45814</v>
      </c>
      <c r="H43" s="3">
        <v>0.62540453074433666</v>
      </c>
      <c r="K43" s="9">
        <v>45814</v>
      </c>
      <c r="L43" s="3">
        <v>1</v>
      </c>
      <c r="O43" s="9">
        <v>45814</v>
      </c>
      <c r="P43" s="1">
        <v>5.62</v>
      </c>
    </row>
    <row r="44" spans="5:16" x14ac:dyDescent="0.3">
      <c r="G44" s="9">
        <v>45815</v>
      </c>
      <c r="H44" s="3">
        <v>0.56059009483667011</v>
      </c>
      <c r="K44" s="9">
        <v>45815</v>
      </c>
      <c r="L44" s="3">
        <v>1</v>
      </c>
      <c r="O44" s="9">
        <v>45815</v>
      </c>
      <c r="P44" s="1">
        <v>3.22</v>
      </c>
    </row>
    <row r="45" spans="5:16" x14ac:dyDescent="0.3">
      <c r="E45" t="s">
        <v>34</v>
      </c>
      <c r="G45" s="9">
        <v>45816</v>
      </c>
      <c r="H45" s="3">
        <v>0.47895408163265307</v>
      </c>
      <c r="K45" s="9">
        <v>45816</v>
      </c>
      <c r="L45" s="3">
        <v>1</v>
      </c>
      <c r="O45" s="9">
        <v>45816</v>
      </c>
      <c r="P45" s="1">
        <v>5.97</v>
      </c>
    </row>
    <row r="46" spans="5:16" x14ac:dyDescent="0.3">
      <c r="E46" s="1">
        <v>4.1127586206896556</v>
      </c>
      <c r="G46" s="9">
        <v>45817</v>
      </c>
      <c r="H46" s="3">
        <v>0.69380530973451326</v>
      </c>
      <c r="K46" s="9">
        <v>45817</v>
      </c>
      <c r="L46" s="3">
        <v>1</v>
      </c>
      <c r="O46" s="9">
        <v>45817</v>
      </c>
      <c r="P46" s="1">
        <v>4.68</v>
      </c>
    </row>
    <row r="47" spans="5:16" x14ac:dyDescent="0.3">
      <c r="G47" s="9">
        <v>45818</v>
      </c>
      <c r="H47" s="3">
        <v>0.59625000000000006</v>
      </c>
      <c r="K47" s="9">
        <v>45818</v>
      </c>
      <c r="L47" s="3">
        <v>0.68142857142857149</v>
      </c>
      <c r="O47" s="9">
        <v>45818</v>
      </c>
      <c r="P47" s="1">
        <v>2.98</v>
      </c>
    </row>
    <row r="48" spans="5:16" x14ac:dyDescent="0.3">
      <c r="G48" s="9">
        <v>45819</v>
      </c>
      <c r="H48" s="3">
        <v>0.59763313609467461</v>
      </c>
      <c r="K48" s="9">
        <v>45819</v>
      </c>
      <c r="L48" s="3">
        <v>1</v>
      </c>
      <c r="O48" s="9">
        <v>45819</v>
      </c>
      <c r="P48" s="1">
        <v>5.04</v>
      </c>
    </row>
    <row r="49" spans="1:16" x14ac:dyDescent="0.3">
      <c r="G49" s="9">
        <v>45820</v>
      </c>
      <c r="H49" s="3">
        <v>0.64516129032258063</v>
      </c>
      <c r="K49" s="9">
        <v>45820</v>
      </c>
      <c r="L49" s="3">
        <v>1</v>
      </c>
      <c r="O49" s="9">
        <v>45820</v>
      </c>
      <c r="P49" s="1">
        <v>4.99</v>
      </c>
    </row>
    <row r="50" spans="1:16" x14ac:dyDescent="0.3">
      <c r="G50" s="9">
        <v>45821</v>
      </c>
      <c r="H50" s="3">
        <v>0.58672376873661669</v>
      </c>
      <c r="K50" s="9">
        <v>45821</v>
      </c>
      <c r="L50" s="3">
        <v>0.78285714285714281</v>
      </c>
      <c r="O50" s="9">
        <v>45821</v>
      </c>
      <c r="P50" s="1">
        <v>4.87</v>
      </c>
    </row>
    <row r="51" spans="1:16" x14ac:dyDescent="0.3">
      <c r="G51" s="9">
        <v>45822</v>
      </c>
      <c r="H51" s="3">
        <v>0.50708024275118002</v>
      </c>
      <c r="K51" s="9">
        <v>45822</v>
      </c>
      <c r="L51" s="3">
        <v>1</v>
      </c>
      <c r="O51" s="9">
        <v>45822</v>
      </c>
      <c r="P51" s="1">
        <v>4.7</v>
      </c>
    </row>
    <row r="52" spans="1:16" x14ac:dyDescent="0.3">
      <c r="G52" s="9">
        <v>45823</v>
      </c>
      <c r="H52" s="3">
        <v>0.48742411101474409</v>
      </c>
      <c r="K52" s="9">
        <v>45823</v>
      </c>
      <c r="L52" s="3">
        <v>1</v>
      </c>
      <c r="O52" s="9">
        <v>45823</v>
      </c>
      <c r="P52" s="1">
        <v>4.16</v>
      </c>
    </row>
    <row r="53" spans="1:16" x14ac:dyDescent="0.3">
      <c r="G53" s="9">
        <v>45824</v>
      </c>
      <c r="H53" s="3">
        <v>0.58996138996139003</v>
      </c>
      <c r="K53" s="9">
        <v>45824</v>
      </c>
      <c r="L53" s="3">
        <v>1</v>
      </c>
      <c r="O53" s="9">
        <v>45824</v>
      </c>
      <c r="P53" s="1">
        <v>5.57</v>
      </c>
    </row>
    <row r="54" spans="1:16" x14ac:dyDescent="0.3">
      <c r="G54" s="9">
        <v>45825</v>
      </c>
      <c r="H54" s="3">
        <v>0.34330985915492956</v>
      </c>
      <c r="K54" s="9">
        <v>45825</v>
      </c>
      <c r="L54" s="3">
        <v>0.55714285714285705</v>
      </c>
      <c r="O54" s="9">
        <v>45825</v>
      </c>
      <c r="P54" s="1">
        <v>1.76</v>
      </c>
    </row>
    <row r="55" spans="1:16" x14ac:dyDescent="0.3">
      <c r="A55" s="6" t="s">
        <v>25</v>
      </c>
      <c r="B55" t="s">
        <v>41</v>
      </c>
      <c r="G55" s="9">
        <v>45826</v>
      </c>
      <c r="H55" s="3">
        <v>0.56028938906752412</v>
      </c>
      <c r="K55" s="9">
        <v>45826</v>
      </c>
      <c r="L55" s="3">
        <v>0.99571428571428566</v>
      </c>
      <c r="O55" s="9">
        <v>45826</v>
      </c>
      <c r="P55" s="1">
        <v>4.8499999999999996</v>
      </c>
    </row>
    <row r="56" spans="1:16" x14ac:dyDescent="0.3">
      <c r="A56" s="11" t="s">
        <v>42</v>
      </c>
      <c r="B56" s="1">
        <v>5.711875</v>
      </c>
      <c r="G56" s="9">
        <v>45827</v>
      </c>
      <c r="H56" s="3">
        <v>0.55990016638935114</v>
      </c>
      <c r="K56" s="9">
        <v>45827</v>
      </c>
      <c r="L56" s="3">
        <v>0.96142857142857152</v>
      </c>
      <c r="O56" s="9">
        <v>45827</v>
      </c>
      <c r="P56" s="1">
        <v>5.16</v>
      </c>
    </row>
    <row r="57" spans="1:16" x14ac:dyDescent="0.3">
      <c r="A57" s="11" t="s">
        <v>43</v>
      </c>
      <c r="B57" s="1">
        <v>5.7509803921568645</v>
      </c>
      <c r="G57" s="9">
        <v>45828</v>
      </c>
      <c r="H57" s="3">
        <v>0.42977824709609291</v>
      </c>
      <c r="K57" s="9">
        <v>45828</v>
      </c>
      <c r="L57" s="3">
        <v>0.58142857142857152</v>
      </c>
      <c r="O57" s="9">
        <v>45828</v>
      </c>
      <c r="P57" s="1">
        <v>1.43</v>
      </c>
    </row>
    <row r="58" spans="1:16" x14ac:dyDescent="0.3">
      <c r="A58" s="11" t="s">
        <v>44</v>
      </c>
      <c r="B58" s="1">
        <v>5.4870000000000001</v>
      </c>
      <c r="G58" s="9">
        <v>45829</v>
      </c>
      <c r="H58" s="3">
        <v>0.69918699186991873</v>
      </c>
      <c r="K58" s="9">
        <v>45829</v>
      </c>
      <c r="L58" s="3">
        <v>1</v>
      </c>
      <c r="O58" s="9">
        <v>45829</v>
      </c>
      <c r="P58" s="1">
        <v>2.5099999999999998</v>
      </c>
    </row>
    <row r="59" spans="1:16" x14ac:dyDescent="0.3">
      <c r="A59" s="11" t="s">
        <v>45</v>
      </c>
      <c r="B59" s="1">
        <v>5.2439024390243905</v>
      </c>
      <c r="G59" s="9">
        <v>45830</v>
      </c>
      <c r="H59" s="3">
        <v>0.54033485540334847</v>
      </c>
      <c r="K59" s="9">
        <v>45830</v>
      </c>
      <c r="L59" s="3">
        <v>1</v>
      </c>
      <c r="O59" s="9">
        <v>45830</v>
      </c>
      <c r="P59" s="1">
        <v>5.03</v>
      </c>
    </row>
    <row r="60" spans="1:16" x14ac:dyDescent="0.3">
      <c r="A60" s="11" t="s">
        <v>26</v>
      </c>
      <c r="B60" s="1">
        <v>5.5663888888888877</v>
      </c>
      <c r="G60" s="9">
        <v>45831</v>
      </c>
      <c r="H60" s="3">
        <v>0.59230009871668321</v>
      </c>
      <c r="K60" s="9">
        <v>45831</v>
      </c>
      <c r="L60" s="3">
        <v>0.8571428571428571</v>
      </c>
      <c r="O60" s="9">
        <v>45831</v>
      </c>
      <c r="P60" s="1">
        <v>4.26</v>
      </c>
    </row>
    <row r="61" spans="1:16" x14ac:dyDescent="0.3">
      <c r="G61" s="9">
        <v>45832</v>
      </c>
      <c r="H61" s="3">
        <v>0.39846153846153837</v>
      </c>
      <c r="K61" s="9">
        <v>45832</v>
      </c>
      <c r="L61" s="3">
        <v>0.36999999999999994</v>
      </c>
      <c r="O61" s="9">
        <v>45832</v>
      </c>
      <c r="P61" s="1">
        <v>2.2599999999999998</v>
      </c>
    </row>
    <row r="62" spans="1:16" x14ac:dyDescent="0.3">
      <c r="G62" s="9">
        <v>45833</v>
      </c>
      <c r="H62" s="3">
        <v>0.44427596664139496</v>
      </c>
      <c r="K62" s="9">
        <v>45833</v>
      </c>
      <c r="L62" s="3">
        <v>0.83714285714285708</v>
      </c>
      <c r="O62" s="9">
        <v>45833</v>
      </c>
      <c r="P62" s="1">
        <v>4.62</v>
      </c>
    </row>
    <row r="63" spans="1:16" x14ac:dyDescent="0.3">
      <c r="A63" s="6" t="s">
        <v>25</v>
      </c>
      <c r="B63" t="s">
        <v>46</v>
      </c>
      <c r="C63" t="s">
        <v>36</v>
      </c>
      <c r="D63" t="s">
        <v>39</v>
      </c>
      <c r="G63" s="9">
        <v>45834</v>
      </c>
      <c r="H63" s="3">
        <v>0.57949125596184414</v>
      </c>
      <c r="K63" s="9">
        <v>45834</v>
      </c>
      <c r="L63" s="3">
        <v>1</v>
      </c>
      <c r="O63" s="9">
        <v>45834</v>
      </c>
      <c r="P63" s="1">
        <v>4.16</v>
      </c>
    </row>
    <row r="64" spans="1:16" x14ac:dyDescent="0.3">
      <c r="A64" s="7">
        <v>22</v>
      </c>
      <c r="B64" s="2">
        <v>5</v>
      </c>
      <c r="C64" s="1">
        <v>3.8200000000000003</v>
      </c>
      <c r="D64" s="3">
        <v>0.76400000000000001</v>
      </c>
      <c r="G64" s="9">
        <v>45835</v>
      </c>
      <c r="H64" s="3">
        <v>0.5475746268656716</v>
      </c>
      <c r="K64" s="9">
        <v>45835</v>
      </c>
      <c r="L64" s="3">
        <v>0.83857142857142841</v>
      </c>
      <c r="O64" s="9">
        <v>45835</v>
      </c>
      <c r="P64" s="1">
        <v>3.45</v>
      </c>
    </row>
    <row r="65" spans="1:16" x14ac:dyDescent="0.3">
      <c r="A65" s="7">
        <v>23</v>
      </c>
      <c r="B65" s="2">
        <v>45</v>
      </c>
      <c r="C65" s="1">
        <v>44.04</v>
      </c>
      <c r="D65" s="3">
        <v>0.8783673469387755</v>
      </c>
      <c r="G65" s="9">
        <v>45836</v>
      </c>
      <c r="H65" s="3">
        <v>0.57710064635272396</v>
      </c>
      <c r="K65" s="9">
        <v>45836</v>
      </c>
      <c r="L65" s="3">
        <v>1</v>
      </c>
      <c r="O65" s="9">
        <v>45836</v>
      </c>
      <c r="P65" s="1">
        <v>3.79</v>
      </c>
    </row>
    <row r="66" spans="1:16" x14ac:dyDescent="0.3">
      <c r="A66" s="7">
        <v>24</v>
      </c>
      <c r="B66" s="2">
        <v>45</v>
      </c>
      <c r="C66" s="1">
        <v>45.900000000000006</v>
      </c>
      <c r="D66" s="3">
        <v>0.92346938775510201</v>
      </c>
      <c r="G66" s="9">
        <v>45837</v>
      </c>
      <c r="H66" s="3">
        <v>0.47760165403170224</v>
      </c>
      <c r="K66" s="9">
        <v>45837</v>
      </c>
      <c r="L66" s="3">
        <v>1</v>
      </c>
      <c r="O66" s="9">
        <v>45837</v>
      </c>
      <c r="P66" s="1">
        <v>4.68</v>
      </c>
    </row>
    <row r="67" spans="1:16" x14ac:dyDescent="0.3">
      <c r="A67" s="7">
        <v>25</v>
      </c>
      <c r="B67" s="2">
        <v>45</v>
      </c>
      <c r="C67" s="1">
        <v>41.57</v>
      </c>
      <c r="D67" s="3">
        <v>0.87081632653061214</v>
      </c>
      <c r="G67" s="9" t="s">
        <v>26</v>
      </c>
      <c r="H67" s="3">
        <v>0.53529430051663796</v>
      </c>
      <c r="K67" s="9" t="s">
        <v>26</v>
      </c>
      <c r="L67" s="3">
        <v>0.8750147783251232</v>
      </c>
      <c r="O67" s="9" t="s">
        <v>26</v>
      </c>
      <c r="P67" s="1">
        <v>4.1127586206896565</v>
      </c>
    </row>
    <row r="68" spans="1:16" x14ac:dyDescent="0.3">
      <c r="A68" s="7">
        <v>26</v>
      </c>
      <c r="B68" s="2">
        <v>45</v>
      </c>
      <c r="C68" s="1">
        <v>40.789999999999992</v>
      </c>
      <c r="D68" s="3">
        <v>0.84326530612244888</v>
      </c>
    </row>
    <row r="69" spans="1:16" x14ac:dyDescent="0.3">
      <c r="A69" s="7" t="s">
        <v>26</v>
      </c>
      <c r="B69" s="2">
        <v>185</v>
      </c>
      <c r="C69" s="1">
        <v>176.11999999999998</v>
      </c>
      <c r="D69" s="3">
        <v>0.8750147783251232</v>
      </c>
    </row>
    <row r="80" spans="1:16" x14ac:dyDescent="0.3">
      <c r="A80" s="6" t="s">
        <v>25</v>
      </c>
      <c r="B80" t="s">
        <v>48</v>
      </c>
    </row>
    <row r="81" spans="1:2" x14ac:dyDescent="0.3">
      <c r="A81" s="7" t="s">
        <v>4</v>
      </c>
      <c r="B81" s="8">
        <v>1.1261538461538461</v>
      </c>
    </row>
    <row r="82" spans="1:2" x14ac:dyDescent="0.3">
      <c r="A82" s="7" t="s">
        <v>6</v>
      </c>
      <c r="B82" s="8">
        <v>1.3703846153846155</v>
      </c>
    </row>
    <row r="83" spans="1:2" x14ac:dyDescent="0.3">
      <c r="A83" s="7" t="s">
        <v>5</v>
      </c>
      <c r="B83" s="8">
        <v>3.1784615384615389</v>
      </c>
    </row>
    <row r="84" spans="1:2" x14ac:dyDescent="0.3">
      <c r="A84" s="7" t="s">
        <v>3</v>
      </c>
      <c r="B84" s="8">
        <v>6.8961538461538456</v>
      </c>
    </row>
    <row r="85" spans="1:2" x14ac:dyDescent="0.3">
      <c r="A85" s="7" t="s">
        <v>2</v>
      </c>
      <c r="B85" s="8">
        <v>3.1900000000000008</v>
      </c>
    </row>
    <row r="86" spans="1:2" x14ac:dyDescent="0.3">
      <c r="A86" s="7" t="s">
        <v>26</v>
      </c>
      <c r="B86" s="8">
        <v>3.1522307692307687</v>
      </c>
    </row>
    <row r="89" spans="1:2" x14ac:dyDescent="0.3">
      <c r="A89" s="6" t="s">
        <v>25</v>
      </c>
      <c r="B89" t="s">
        <v>40</v>
      </c>
    </row>
    <row r="90" spans="1:2" x14ac:dyDescent="0.3">
      <c r="A90" s="7">
        <v>22</v>
      </c>
      <c r="B90" s="1">
        <v>3.2209999999999996</v>
      </c>
    </row>
    <row r="91" spans="1:2" x14ac:dyDescent="0.3">
      <c r="A91" s="7">
        <v>23</v>
      </c>
      <c r="B91" s="1">
        <v>3.4744285714285712</v>
      </c>
    </row>
    <row r="92" spans="1:2" x14ac:dyDescent="0.3">
      <c r="A92" s="7">
        <v>24</v>
      </c>
      <c r="B92" s="1">
        <v>3.6478571428571436</v>
      </c>
    </row>
    <row r="93" spans="1:2" x14ac:dyDescent="0.3">
      <c r="A93" s="7">
        <v>25</v>
      </c>
      <c r="B93" s="1">
        <v>3.4175714285714283</v>
      </c>
    </row>
    <row r="94" spans="1:2" x14ac:dyDescent="0.3">
      <c r="A94" s="7">
        <v>26</v>
      </c>
      <c r="B94" s="1">
        <v>3.4227142857142852</v>
      </c>
    </row>
    <row r="95" spans="1:2" x14ac:dyDescent="0.3">
      <c r="A95" s="7" t="s">
        <v>26</v>
      </c>
      <c r="B95" s="1">
        <v>3.4813448275862067</v>
      </c>
    </row>
    <row r="100" spans="1:3" x14ac:dyDescent="0.3">
      <c r="A100" s="6" t="s">
        <v>25</v>
      </c>
      <c r="B100" t="s">
        <v>34</v>
      </c>
      <c r="C100" t="s">
        <v>49</v>
      </c>
    </row>
    <row r="101" spans="1:3" x14ac:dyDescent="0.3">
      <c r="A101" s="7">
        <v>22</v>
      </c>
      <c r="B101" s="1">
        <v>2.27</v>
      </c>
      <c r="C101" s="1">
        <v>1.63</v>
      </c>
    </row>
    <row r="102" spans="1:3" x14ac:dyDescent="0.3">
      <c r="A102" s="7">
        <v>23</v>
      </c>
      <c r="B102" s="1">
        <v>4.5785714285714292</v>
      </c>
      <c r="C102" s="1">
        <v>3.7642857142857147</v>
      </c>
    </row>
    <row r="103" spans="1:3" x14ac:dyDescent="0.3">
      <c r="A103" s="7">
        <v>24</v>
      </c>
      <c r="B103" s="1">
        <v>4.4885714285714284</v>
      </c>
      <c r="C103" s="1">
        <v>2.0585714285714287</v>
      </c>
    </row>
    <row r="104" spans="1:3" x14ac:dyDescent="0.3">
      <c r="A104" s="7">
        <v>25</v>
      </c>
      <c r="B104" s="1">
        <v>3.7585714285714289</v>
      </c>
      <c r="C104" s="1">
        <v>2.9871428571428575</v>
      </c>
    </row>
    <row r="105" spans="1:3" x14ac:dyDescent="0.3">
      <c r="A105" s="7">
        <v>26</v>
      </c>
      <c r="B105" s="1">
        <v>3.8885714285714283</v>
      </c>
      <c r="C105" s="1">
        <v>2.8385714285714281</v>
      </c>
    </row>
    <row r="106" spans="1:3" x14ac:dyDescent="0.3">
      <c r="A106" s="7" t="s">
        <v>26</v>
      </c>
      <c r="B106" s="1">
        <v>4.1127586206896565</v>
      </c>
      <c r="C106" s="1">
        <v>2.867931034482758</v>
      </c>
    </row>
  </sheetData>
  <sortState xmlns:xlrd2="http://schemas.microsoft.com/office/spreadsheetml/2017/richdata2" columnSort="1" ref="A24:C26">
    <sortCondition descending="1" ref="B2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1"/>
  <sheetViews>
    <sheetView topLeftCell="G1" workbookViewId="0">
      <selection activeCell="L174" sqref="L174"/>
    </sheetView>
  </sheetViews>
  <sheetFormatPr defaultRowHeight="14.4" x14ac:dyDescent="0.3"/>
  <cols>
    <col min="1" max="2" width="17.33203125" style="5" customWidth="1"/>
    <col min="3" max="3" width="17.33203125" customWidth="1"/>
    <col min="4" max="4" width="10.44140625" style="4" bestFit="1" customWidth="1"/>
    <col min="5" max="5" width="13.6640625" style="1" customWidth="1"/>
    <col min="6" max="6" width="13.33203125" style="1" customWidth="1"/>
    <col min="7" max="7" width="15.44140625" style="1" customWidth="1"/>
    <col min="8" max="8" width="14.6640625" style="1" customWidth="1"/>
    <col min="9" max="9" width="15.21875" style="1" customWidth="1"/>
    <col min="10" max="10" width="11" style="1" customWidth="1"/>
    <col min="11" max="11" width="15.5546875" style="1" customWidth="1"/>
    <col min="12" max="12" width="13.6640625" style="2" customWidth="1"/>
    <col min="13" max="13" width="15.5546875" style="2" customWidth="1"/>
    <col min="14" max="14" width="18.77734375" style="3" customWidth="1"/>
    <col min="15" max="15" width="23.109375" style="1" customWidth="1"/>
    <col min="16" max="16" width="20.33203125" style="1" customWidth="1"/>
    <col min="17" max="17" width="13.33203125" style="1" customWidth="1"/>
    <col min="18" max="18" width="18.77734375" style="3" customWidth="1"/>
    <col min="19" max="19" width="15.44140625" bestFit="1" customWidth="1"/>
    <col min="20" max="20" width="9" bestFit="1" customWidth="1"/>
    <col min="21" max="21" width="13.109375" bestFit="1" customWidth="1"/>
    <col min="22" max="22" width="10.44140625" bestFit="1" customWidth="1"/>
    <col min="23" max="23" width="11.33203125" bestFit="1" customWidth="1"/>
    <col min="24" max="24" width="16" bestFit="1" customWidth="1"/>
    <col min="25" max="25" width="14" bestFit="1" customWidth="1"/>
    <col min="26" max="26" width="16" bestFit="1" customWidth="1"/>
    <col min="27" max="27" width="19.21875" bestFit="1" customWidth="1"/>
    <col min="28" max="28" width="23.77734375" bestFit="1" customWidth="1"/>
    <col min="29" max="29" width="20.88671875" bestFit="1" customWidth="1"/>
    <col min="30" max="30" width="13.6640625" bestFit="1" customWidth="1"/>
    <col min="31" max="31" width="19.21875" bestFit="1" customWidth="1"/>
    <col min="32" max="32" width="13.5546875" bestFit="1" customWidth="1"/>
    <col min="33" max="33" width="8.109375" bestFit="1" customWidth="1"/>
  </cols>
  <sheetData>
    <row r="1" spans="1:18" x14ac:dyDescent="0.3">
      <c r="A1" t="s">
        <v>0</v>
      </c>
      <c r="B1" t="s">
        <v>23</v>
      </c>
      <c r="C1" t="s">
        <v>24</v>
      </c>
      <c r="D1" t="s">
        <v>1</v>
      </c>
      <c r="E1" t="s">
        <v>2</v>
      </c>
      <c r="F1" t="s">
        <v>3</v>
      </c>
      <c r="G1" s="14" t="s">
        <v>4</v>
      </c>
      <c r="H1" s="14" t="s">
        <v>5</v>
      </c>
      <c r="I1" s="14" t="s">
        <v>6</v>
      </c>
      <c r="J1" t="s">
        <v>7</v>
      </c>
      <c r="K1" t="s">
        <v>8</v>
      </c>
      <c r="L1" t="s">
        <v>9</v>
      </c>
      <c r="M1" t="s">
        <v>22</v>
      </c>
      <c r="N1" t="s">
        <v>10</v>
      </c>
      <c r="O1" t="s">
        <v>11</v>
      </c>
      <c r="P1" t="s">
        <v>12</v>
      </c>
      <c r="Q1" t="s">
        <v>13</v>
      </c>
      <c r="R1" t="s">
        <v>14</v>
      </c>
    </row>
    <row r="2" spans="1:18" x14ac:dyDescent="0.3">
      <c r="A2">
        <v>45658</v>
      </c>
      <c r="B2" t="str">
        <f t="shared" ref="B2:B33" si="0">TEXT(A2,"MMMM")</f>
        <v>January</v>
      </c>
      <c r="C2">
        <f t="shared" ref="C2:C33" si="1">WEEKNUM(A2,2)</f>
        <v>1</v>
      </c>
      <c r="D2" t="s">
        <v>15</v>
      </c>
      <c r="E2">
        <v>2.75</v>
      </c>
      <c r="F2">
        <v>6.1</v>
      </c>
      <c r="G2">
        <v>1.44</v>
      </c>
      <c r="H2">
        <v>4.3600000000000003</v>
      </c>
      <c r="I2">
        <v>0.36</v>
      </c>
      <c r="J2">
        <v>0.67</v>
      </c>
      <c r="K2">
        <v>0.3</v>
      </c>
      <c r="L2">
        <v>9</v>
      </c>
      <c r="M2">
        <f t="shared" ref="M2:M33" si="2">IF(D2="Saturday",5,IF(D2="Sunday",5,7))</f>
        <v>7</v>
      </c>
      <c r="N2">
        <f t="shared" ref="N2:N33" si="3">MIN(O2/M2,1)</f>
        <v>0.64142857142857146</v>
      </c>
      <c r="O2">
        <f t="shared" ref="O2:O33" si="4">E2+K2+G2</f>
        <v>4.49</v>
      </c>
      <c r="P2">
        <f t="shared" ref="P2:P33" si="5">H2+I2+J2</f>
        <v>5.3900000000000006</v>
      </c>
      <c r="Q2">
        <f t="shared" ref="Q2:Q33" si="6">MAX(0, MIN(10, (E2*0.4 + F2*0.3 + G2*0.2) - (H2*0.1 + I2*0.1)))</f>
        <v>2.7459999999999996</v>
      </c>
      <c r="R2">
        <f t="shared" ref="R2:R33" si="7">O2/(O2+P2)</f>
        <v>0.45445344129554655</v>
      </c>
    </row>
    <row r="3" spans="1:18" x14ac:dyDescent="0.3">
      <c r="A3">
        <v>45659</v>
      </c>
      <c r="B3" t="str">
        <f t="shared" si="0"/>
        <v>January</v>
      </c>
      <c r="C3">
        <f t="shared" si="1"/>
        <v>1</v>
      </c>
      <c r="D3" t="s">
        <v>16</v>
      </c>
      <c r="E3">
        <v>1.87</v>
      </c>
      <c r="F3">
        <v>6.85</v>
      </c>
      <c r="G3">
        <v>1.18</v>
      </c>
      <c r="H3">
        <v>3.1</v>
      </c>
      <c r="I3">
        <v>1.1599999999999999</v>
      </c>
      <c r="J3">
        <v>1.88</v>
      </c>
      <c r="K3">
        <v>1.63</v>
      </c>
      <c r="L3">
        <v>6</v>
      </c>
      <c r="M3">
        <f t="shared" si="2"/>
        <v>7</v>
      </c>
      <c r="N3">
        <f t="shared" si="3"/>
        <v>0.66857142857142848</v>
      </c>
      <c r="O3">
        <f t="shared" si="4"/>
        <v>4.68</v>
      </c>
      <c r="P3">
        <f t="shared" si="5"/>
        <v>6.14</v>
      </c>
      <c r="Q3">
        <f t="shared" si="6"/>
        <v>2.6129999999999995</v>
      </c>
      <c r="R3">
        <f t="shared" si="7"/>
        <v>0.43253234750462105</v>
      </c>
    </row>
    <row r="4" spans="1:18" x14ac:dyDescent="0.3">
      <c r="A4">
        <v>45660</v>
      </c>
      <c r="B4" t="str">
        <f t="shared" si="0"/>
        <v>January</v>
      </c>
      <c r="C4">
        <f t="shared" si="1"/>
        <v>1</v>
      </c>
      <c r="D4" t="s">
        <v>17</v>
      </c>
      <c r="E4">
        <v>4.93</v>
      </c>
      <c r="F4">
        <v>7.17</v>
      </c>
      <c r="G4">
        <v>0.54</v>
      </c>
      <c r="H4">
        <v>4.99</v>
      </c>
      <c r="I4">
        <v>0.51</v>
      </c>
      <c r="J4">
        <v>0.48</v>
      </c>
      <c r="K4">
        <v>1.1599999999999999</v>
      </c>
      <c r="L4">
        <v>7</v>
      </c>
      <c r="M4">
        <f t="shared" si="2"/>
        <v>7</v>
      </c>
      <c r="N4">
        <f t="shared" si="3"/>
        <v>0.94714285714285718</v>
      </c>
      <c r="O4">
        <f t="shared" si="4"/>
        <v>6.63</v>
      </c>
      <c r="P4">
        <f t="shared" si="5"/>
        <v>5.98</v>
      </c>
      <c r="Q4">
        <f t="shared" si="6"/>
        <v>3.6809999999999992</v>
      </c>
      <c r="R4">
        <f t="shared" si="7"/>
        <v>0.52577319587628868</v>
      </c>
    </row>
    <row r="5" spans="1:18" x14ac:dyDescent="0.3">
      <c r="A5">
        <v>45661</v>
      </c>
      <c r="B5" t="str">
        <f t="shared" si="0"/>
        <v>January</v>
      </c>
      <c r="C5">
        <f t="shared" si="1"/>
        <v>1</v>
      </c>
      <c r="D5" s="7" t="s">
        <v>18</v>
      </c>
      <c r="E5">
        <v>5.96</v>
      </c>
      <c r="F5">
        <v>7.87</v>
      </c>
      <c r="G5">
        <v>1.97</v>
      </c>
      <c r="H5">
        <v>4.71</v>
      </c>
      <c r="I5">
        <v>0.28000000000000003</v>
      </c>
      <c r="J5">
        <v>1.52</v>
      </c>
      <c r="K5">
        <v>0.41</v>
      </c>
      <c r="L5">
        <v>6</v>
      </c>
      <c r="M5">
        <f t="shared" si="2"/>
        <v>5</v>
      </c>
      <c r="N5">
        <f t="shared" si="3"/>
        <v>1</v>
      </c>
      <c r="O5">
        <f t="shared" si="4"/>
        <v>8.34</v>
      </c>
      <c r="P5">
        <f t="shared" si="5"/>
        <v>6.51</v>
      </c>
      <c r="Q5">
        <f t="shared" si="6"/>
        <v>4.6399999999999997</v>
      </c>
      <c r="R5">
        <f t="shared" si="7"/>
        <v>0.56161616161616157</v>
      </c>
    </row>
    <row r="6" spans="1:18" x14ac:dyDescent="0.3">
      <c r="A6">
        <v>45662</v>
      </c>
      <c r="B6" t="str">
        <f t="shared" si="0"/>
        <v>January</v>
      </c>
      <c r="C6">
        <f t="shared" si="1"/>
        <v>1</v>
      </c>
      <c r="D6" t="s">
        <v>19</v>
      </c>
      <c r="E6">
        <v>4</v>
      </c>
      <c r="F6">
        <v>7.23</v>
      </c>
      <c r="G6">
        <v>0.52</v>
      </c>
      <c r="H6">
        <v>2.42</v>
      </c>
      <c r="I6">
        <v>0.05</v>
      </c>
      <c r="J6">
        <v>1.65</v>
      </c>
      <c r="K6">
        <v>1.18</v>
      </c>
      <c r="L6">
        <v>10</v>
      </c>
      <c r="M6">
        <f t="shared" si="2"/>
        <v>5</v>
      </c>
      <c r="N6">
        <f t="shared" si="3"/>
        <v>1</v>
      </c>
      <c r="O6">
        <f t="shared" si="4"/>
        <v>5.6999999999999993</v>
      </c>
      <c r="P6">
        <f t="shared" si="5"/>
        <v>4.1199999999999992</v>
      </c>
      <c r="Q6">
        <f t="shared" si="6"/>
        <v>3.6260000000000003</v>
      </c>
      <c r="R6">
        <f t="shared" si="7"/>
        <v>0.58044806517311609</v>
      </c>
    </row>
    <row r="7" spans="1:18" x14ac:dyDescent="0.3">
      <c r="A7">
        <v>45663</v>
      </c>
      <c r="B7" t="str">
        <f t="shared" si="0"/>
        <v>January</v>
      </c>
      <c r="C7" s="13">
        <f t="shared" si="1"/>
        <v>2</v>
      </c>
      <c r="D7" t="s">
        <v>20</v>
      </c>
      <c r="E7">
        <v>1.36</v>
      </c>
      <c r="F7">
        <v>8.1999999999999993</v>
      </c>
      <c r="G7">
        <v>1.02</v>
      </c>
      <c r="H7">
        <v>3.46</v>
      </c>
      <c r="I7">
        <v>1.79</v>
      </c>
      <c r="J7">
        <v>0.44</v>
      </c>
      <c r="K7">
        <v>0.37</v>
      </c>
      <c r="L7">
        <v>6</v>
      </c>
      <c r="M7">
        <f t="shared" si="2"/>
        <v>7</v>
      </c>
      <c r="N7">
        <f t="shared" si="3"/>
        <v>0.39285714285714285</v>
      </c>
      <c r="O7">
        <f t="shared" si="4"/>
        <v>2.75</v>
      </c>
      <c r="P7">
        <f t="shared" si="5"/>
        <v>5.69</v>
      </c>
      <c r="Q7">
        <f t="shared" si="6"/>
        <v>2.6829999999999998</v>
      </c>
      <c r="R7">
        <f t="shared" si="7"/>
        <v>0.32582938388625587</v>
      </c>
    </row>
    <row r="8" spans="1:18" x14ac:dyDescent="0.3">
      <c r="A8">
        <v>45664</v>
      </c>
      <c r="B8" t="str">
        <f t="shared" si="0"/>
        <v>January</v>
      </c>
      <c r="C8">
        <f t="shared" si="1"/>
        <v>2</v>
      </c>
      <c r="D8" t="s">
        <v>21</v>
      </c>
      <c r="E8">
        <v>4.32</v>
      </c>
      <c r="F8">
        <v>7.92</v>
      </c>
      <c r="G8">
        <v>1.22</v>
      </c>
      <c r="H8">
        <v>1.05</v>
      </c>
      <c r="I8">
        <v>1.5</v>
      </c>
      <c r="J8">
        <v>0.75</v>
      </c>
      <c r="K8">
        <v>0.44</v>
      </c>
      <c r="L8">
        <v>3</v>
      </c>
      <c r="M8">
        <f t="shared" si="2"/>
        <v>7</v>
      </c>
      <c r="N8">
        <f t="shared" si="3"/>
        <v>0.85428571428571431</v>
      </c>
      <c r="O8">
        <f t="shared" si="4"/>
        <v>5.98</v>
      </c>
      <c r="P8">
        <f t="shared" si="5"/>
        <v>3.3</v>
      </c>
      <c r="Q8">
        <f t="shared" si="6"/>
        <v>4.093</v>
      </c>
      <c r="R8">
        <f t="shared" si="7"/>
        <v>0.6443965517241379</v>
      </c>
    </row>
    <row r="9" spans="1:18" x14ac:dyDescent="0.3">
      <c r="A9">
        <v>45665</v>
      </c>
      <c r="B9" t="str">
        <f t="shared" si="0"/>
        <v>January</v>
      </c>
      <c r="C9">
        <f t="shared" si="1"/>
        <v>2</v>
      </c>
      <c r="D9" t="s">
        <v>15</v>
      </c>
      <c r="E9">
        <v>2.46</v>
      </c>
      <c r="F9">
        <v>8.68</v>
      </c>
      <c r="G9">
        <v>1.76</v>
      </c>
      <c r="H9">
        <v>3.78</v>
      </c>
      <c r="I9">
        <v>7.0000000000000007E-2</v>
      </c>
      <c r="J9">
        <v>1.86</v>
      </c>
      <c r="K9">
        <v>0.75</v>
      </c>
      <c r="L9">
        <v>1</v>
      </c>
      <c r="M9">
        <f t="shared" si="2"/>
        <v>7</v>
      </c>
      <c r="N9">
        <f t="shared" si="3"/>
        <v>0.71</v>
      </c>
      <c r="O9">
        <f t="shared" si="4"/>
        <v>4.97</v>
      </c>
      <c r="P9">
        <f t="shared" si="5"/>
        <v>5.71</v>
      </c>
      <c r="Q9">
        <f t="shared" si="6"/>
        <v>3.5549999999999997</v>
      </c>
      <c r="R9">
        <f t="shared" si="7"/>
        <v>0.46535580524344566</v>
      </c>
    </row>
    <row r="10" spans="1:18" x14ac:dyDescent="0.3">
      <c r="A10">
        <v>45666</v>
      </c>
      <c r="B10" t="str">
        <f t="shared" si="0"/>
        <v>January</v>
      </c>
      <c r="C10">
        <f t="shared" si="1"/>
        <v>2</v>
      </c>
      <c r="D10" t="s">
        <v>16</v>
      </c>
      <c r="E10">
        <v>1.43</v>
      </c>
      <c r="F10">
        <v>8.49</v>
      </c>
      <c r="G10">
        <v>0.06</v>
      </c>
      <c r="H10">
        <v>2.92</v>
      </c>
      <c r="I10">
        <v>0.95</v>
      </c>
      <c r="J10">
        <v>1.82</v>
      </c>
      <c r="K10">
        <v>0.06</v>
      </c>
      <c r="L10">
        <v>5</v>
      </c>
      <c r="M10">
        <f t="shared" si="2"/>
        <v>7</v>
      </c>
      <c r="N10">
        <f t="shared" si="3"/>
        <v>0.22142857142857145</v>
      </c>
      <c r="O10">
        <f t="shared" si="4"/>
        <v>1.55</v>
      </c>
      <c r="P10">
        <f t="shared" si="5"/>
        <v>5.69</v>
      </c>
      <c r="Q10">
        <f t="shared" si="6"/>
        <v>2.7440000000000002</v>
      </c>
      <c r="R10">
        <f t="shared" si="7"/>
        <v>0.21408839779005526</v>
      </c>
    </row>
    <row r="11" spans="1:18" x14ac:dyDescent="0.3">
      <c r="A11">
        <v>45667</v>
      </c>
      <c r="B11" t="str">
        <f t="shared" si="0"/>
        <v>January</v>
      </c>
      <c r="C11">
        <f t="shared" si="1"/>
        <v>2</v>
      </c>
      <c r="D11" t="s">
        <v>17</v>
      </c>
      <c r="E11">
        <v>5.71</v>
      </c>
      <c r="F11">
        <v>5.4</v>
      </c>
      <c r="G11">
        <v>0.09</v>
      </c>
      <c r="H11">
        <v>1.52</v>
      </c>
      <c r="I11">
        <v>2.2200000000000002</v>
      </c>
      <c r="J11">
        <v>0.6</v>
      </c>
      <c r="K11">
        <v>0.94</v>
      </c>
      <c r="L11">
        <v>9</v>
      </c>
      <c r="M11">
        <f t="shared" si="2"/>
        <v>7</v>
      </c>
      <c r="N11">
        <f t="shared" si="3"/>
        <v>0.96285714285714286</v>
      </c>
      <c r="O11">
        <f t="shared" si="4"/>
        <v>6.74</v>
      </c>
      <c r="P11">
        <f t="shared" si="5"/>
        <v>4.34</v>
      </c>
      <c r="Q11">
        <f t="shared" si="6"/>
        <v>3.548</v>
      </c>
      <c r="R11">
        <f t="shared" si="7"/>
        <v>0.60830324909747291</v>
      </c>
    </row>
    <row r="12" spans="1:18" x14ac:dyDescent="0.3">
      <c r="A12">
        <v>45668</v>
      </c>
      <c r="B12" t="str">
        <f t="shared" si="0"/>
        <v>January</v>
      </c>
      <c r="C12">
        <f t="shared" si="1"/>
        <v>2</v>
      </c>
      <c r="D12" t="s">
        <v>18</v>
      </c>
      <c r="E12">
        <v>2.73</v>
      </c>
      <c r="F12">
        <v>6.38</v>
      </c>
      <c r="G12">
        <v>1.89</v>
      </c>
      <c r="H12">
        <v>1.24</v>
      </c>
      <c r="I12">
        <v>2.7</v>
      </c>
      <c r="J12">
        <v>1.02</v>
      </c>
      <c r="K12">
        <v>1.46</v>
      </c>
      <c r="L12">
        <v>4</v>
      </c>
      <c r="M12">
        <f t="shared" si="2"/>
        <v>5</v>
      </c>
      <c r="N12">
        <f t="shared" si="3"/>
        <v>1</v>
      </c>
      <c r="O12">
        <f t="shared" si="4"/>
        <v>6.0799999999999992</v>
      </c>
      <c r="P12">
        <f t="shared" si="5"/>
        <v>4.9600000000000009</v>
      </c>
      <c r="Q12">
        <f t="shared" si="6"/>
        <v>2.99</v>
      </c>
      <c r="R12">
        <f t="shared" si="7"/>
        <v>0.55072463768115942</v>
      </c>
    </row>
    <row r="13" spans="1:18" x14ac:dyDescent="0.3">
      <c r="A13">
        <v>45669</v>
      </c>
      <c r="B13" t="str">
        <f t="shared" si="0"/>
        <v>January</v>
      </c>
      <c r="C13">
        <f t="shared" si="1"/>
        <v>2</v>
      </c>
      <c r="D13" t="s">
        <v>19</v>
      </c>
      <c r="E13">
        <v>4.95</v>
      </c>
      <c r="F13">
        <v>5.13</v>
      </c>
      <c r="G13">
        <v>0.99</v>
      </c>
      <c r="H13">
        <v>1.32</v>
      </c>
      <c r="I13">
        <v>0.87</v>
      </c>
      <c r="J13">
        <v>0.5</v>
      </c>
      <c r="K13">
        <v>0.14000000000000001</v>
      </c>
      <c r="L13">
        <v>3</v>
      </c>
      <c r="M13">
        <f t="shared" si="2"/>
        <v>5</v>
      </c>
      <c r="N13">
        <f t="shared" si="3"/>
        <v>1</v>
      </c>
      <c r="O13">
        <f t="shared" si="4"/>
        <v>6.08</v>
      </c>
      <c r="P13">
        <f t="shared" si="5"/>
        <v>2.69</v>
      </c>
      <c r="Q13">
        <f t="shared" si="6"/>
        <v>3.4980000000000002</v>
      </c>
      <c r="R13">
        <f t="shared" si="7"/>
        <v>0.69327251995438999</v>
      </c>
    </row>
    <row r="14" spans="1:18" x14ac:dyDescent="0.3">
      <c r="A14">
        <v>45670</v>
      </c>
      <c r="B14" t="str">
        <f t="shared" si="0"/>
        <v>January</v>
      </c>
      <c r="C14">
        <f t="shared" si="1"/>
        <v>3</v>
      </c>
      <c r="D14" t="s">
        <v>20</v>
      </c>
      <c r="E14">
        <v>4.3600000000000003</v>
      </c>
      <c r="F14">
        <v>7.93</v>
      </c>
      <c r="G14">
        <v>1.03</v>
      </c>
      <c r="H14">
        <v>1.85</v>
      </c>
      <c r="I14">
        <v>0.24</v>
      </c>
      <c r="J14">
        <v>0.13</v>
      </c>
      <c r="K14">
        <v>1.55</v>
      </c>
      <c r="L14">
        <v>8</v>
      </c>
      <c r="M14">
        <f t="shared" si="2"/>
        <v>7</v>
      </c>
      <c r="N14">
        <f t="shared" si="3"/>
        <v>0.99142857142857144</v>
      </c>
      <c r="O14">
        <f t="shared" si="4"/>
        <v>6.94</v>
      </c>
      <c r="P14">
        <f t="shared" si="5"/>
        <v>2.2199999999999998</v>
      </c>
      <c r="Q14">
        <f t="shared" si="6"/>
        <v>4.120000000000001</v>
      </c>
      <c r="R14">
        <f t="shared" si="7"/>
        <v>0.75764192139737996</v>
      </c>
    </row>
    <row r="15" spans="1:18" x14ac:dyDescent="0.3">
      <c r="A15">
        <v>45671</v>
      </c>
      <c r="B15" t="str">
        <f t="shared" si="0"/>
        <v>January</v>
      </c>
      <c r="C15">
        <f t="shared" si="1"/>
        <v>3</v>
      </c>
      <c r="D15" t="s">
        <v>21</v>
      </c>
      <c r="E15">
        <v>1.71</v>
      </c>
      <c r="F15">
        <v>6.13</v>
      </c>
      <c r="G15">
        <v>1.25</v>
      </c>
      <c r="H15">
        <v>4.3600000000000003</v>
      </c>
      <c r="I15">
        <v>2.5</v>
      </c>
      <c r="J15">
        <v>1.46</v>
      </c>
      <c r="K15">
        <v>1.53</v>
      </c>
      <c r="L15">
        <v>6</v>
      </c>
      <c r="M15">
        <f t="shared" si="2"/>
        <v>7</v>
      </c>
      <c r="N15">
        <f t="shared" si="3"/>
        <v>0.64142857142857146</v>
      </c>
      <c r="O15">
        <f t="shared" si="4"/>
        <v>4.49</v>
      </c>
      <c r="P15">
        <f t="shared" si="5"/>
        <v>8.32</v>
      </c>
      <c r="Q15">
        <f t="shared" si="6"/>
        <v>2.0870000000000002</v>
      </c>
      <c r="R15">
        <f t="shared" si="7"/>
        <v>0.35050741608118657</v>
      </c>
    </row>
    <row r="16" spans="1:18" x14ac:dyDescent="0.3">
      <c r="A16">
        <v>45672</v>
      </c>
      <c r="B16" t="str">
        <f t="shared" si="0"/>
        <v>January</v>
      </c>
      <c r="C16">
        <f t="shared" si="1"/>
        <v>3</v>
      </c>
      <c r="D16" t="s">
        <v>15</v>
      </c>
      <c r="E16">
        <v>1.81</v>
      </c>
      <c r="F16">
        <v>8.56</v>
      </c>
      <c r="G16">
        <v>1.45</v>
      </c>
      <c r="H16">
        <v>4.72</v>
      </c>
      <c r="I16">
        <v>1.68</v>
      </c>
      <c r="J16">
        <v>1.33</v>
      </c>
      <c r="K16">
        <v>0.11</v>
      </c>
      <c r="L16">
        <v>1</v>
      </c>
      <c r="M16">
        <f t="shared" si="2"/>
        <v>7</v>
      </c>
      <c r="N16">
        <f t="shared" si="3"/>
        <v>0.48142857142857143</v>
      </c>
      <c r="O16">
        <f t="shared" si="4"/>
        <v>3.37</v>
      </c>
      <c r="P16">
        <f t="shared" si="5"/>
        <v>7.7299999999999995</v>
      </c>
      <c r="Q16">
        <f t="shared" si="6"/>
        <v>2.9420000000000002</v>
      </c>
      <c r="R16">
        <f t="shared" si="7"/>
        <v>0.30360360360360361</v>
      </c>
    </row>
    <row r="17" spans="1:18" x14ac:dyDescent="0.3">
      <c r="A17">
        <v>45673</v>
      </c>
      <c r="B17" t="str">
        <f t="shared" si="0"/>
        <v>January</v>
      </c>
      <c r="C17">
        <f t="shared" si="1"/>
        <v>3</v>
      </c>
      <c r="D17" t="s">
        <v>16</v>
      </c>
      <c r="E17">
        <v>3.64</v>
      </c>
      <c r="F17">
        <v>5.99</v>
      </c>
      <c r="G17">
        <v>1.52</v>
      </c>
      <c r="H17">
        <v>3.28</v>
      </c>
      <c r="I17">
        <v>2.58</v>
      </c>
      <c r="J17">
        <v>1.73</v>
      </c>
      <c r="K17">
        <v>1.31</v>
      </c>
      <c r="L17">
        <v>5</v>
      </c>
      <c r="M17">
        <f t="shared" si="2"/>
        <v>7</v>
      </c>
      <c r="N17">
        <f t="shared" si="3"/>
        <v>0.92428571428571438</v>
      </c>
      <c r="O17">
        <f t="shared" si="4"/>
        <v>6.4700000000000006</v>
      </c>
      <c r="P17">
        <f t="shared" si="5"/>
        <v>7.59</v>
      </c>
      <c r="Q17">
        <f t="shared" si="6"/>
        <v>2.9710000000000001</v>
      </c>
      <c r="R17">
        <f t="shared" si="7"/>
        <v>0.46017069701280233</v>
      </c>
    </row>
    <row r="18" spans="1:18" x14ac:dyDescent="0.3">
      <c r="A18">
        <v>45674</v>
      </c>
      <c r="B18" t="str">
        <f t="shared" si="0"/>
        <v>January</v>
      </c>
      <c r="C18">
        <f t="shared" si="1"/>
        <v>3</v>
      </c>
      <c r="D18" t="s">
        <v>17</v>
      </c>
      <c r="E18">
        <v>2.2799999999999998</v>
      </c>
      <c r="F18">
        <v>5.62</v>
      </c>
      <c r="G18">
        <v>1.17</v>
      </c>
      <c r="H18">
        <v>4.99</v>
      </c>
      <c r="I18">
        <v>2.61</v>
      </c>
      <c r="J18">
        <v>7.0000000000000007E-2</v>
      </c>
      <c r="K18">
        <v>0.08</v>
      </c>
      <c r="L18">
        <v>2</v>
      </c>
      <c r="M18">
        <f t="shared" si="2"/>
        <v>7</v>
      </c>
      <c r="N18">
        <f t="shared" si="3"/>
        <v>0.50428571428571423</v>
      </c>
      <c r="O18">
        <f t="shared" si="4"/>
        <v>3.53</v>
      </c>
      <c r="P18">
        <f t="shared" si="5"/>
        <v>7.67</v>
      </c>
      <c r="Q18">
        <f t="shared" si="6"/>
        <v>2.0720000000000001</v>
      </c>
      <c r="R18">
        <f t="shared" si="7"/>
        <v>0.31517857142857142</v>
      </c>
    </row>
    <row r="19" spans="1:18" x14ac:dyDescent="0.3">
      <c r="A19">
        <v>45675</v>
      </c>
      <c r="B19" t="str">
        <f t="shared" si="0"/>
        <v>January</v>
      </c>
      <c r="C19">
        <f t="shared" si="1"/>
        <v>3</v>
      </c>
      <c r="D19" t="s">
        <v>18</v>
      </c>
      <c r="E19">
        <v>2</v>
      </c>
      <c r="F19">
        <v>5.77</v>
      </c>
      <c r="G19">
        <v>1.2</v>
      </c>
      <c r="H19">
        <v>3.49</v>
      </c>
      <c r="I19">
        <v>0.83</v>
      </c>
      <c r="J19">
        <v>1.97</v>
      </c>
      <c r="K19">
        <v>0.87</v>
      </c>
      <c r="L19">
        <v>7</v>
      </c>
      <c r="M19">
        <f t="shared" si="2"/>
        <v>5</v>
      </c>
      <c r="N19">
        <f t="shared" si="3"/>
        <v>0.81400000000000006</v>
      </c>
      <c r="O19">
        <f t="shared" si="4"/>
        <v>4.07</v>
      </c>
      <c r="P19">
        <f t="shared" si="5"/>
        <v>6.29</v>
      </c>
      <c r="Q19">
        <f t="shared" si="6"/>
        <v>2.339</v>
      </c>
      <c r="R19">
        <f t="shared" si="7"/>
        <v>0.3928571428571429</v>
      </c>
    </row>
    <row r="20" spans="1:18" x14ac:dyDescent="0.3">
      <c r="A20">
        <v>45676</v>
      </c>
      <c r="B20" t="str">
        <f t="shared" si="0"/>
        <v>January</v>
      </c>
      <c r="C20">
        <f t="shared" si="1"/>
        <v>3</v>
      </c>
      <c r="D20" t="s">
        <v>19</v>
      </c>
      <c r="E20">
        <v>4.22</v>
      </c>
      <c r="F20">
        <v>7.33</v>
      </c>
      <c r="G20">
        <v>1</v>
      </c>
      <c r="H20">
        <v>4.57</v>
      </c>
      <c r="I20">
        <v>1.95</v>
      </c>
      <c r="J20">
        <v>0.33</v>
      </c>
      <c r="K20">
        <v>1.88</v>
      </c>
      <c r="L20">
        <v>1</v>
      </c>
      <c r="M20">
        <f t="shared" si="2"/>
        <v>5</v>
      </c>
      <c r="N20">
        <f t="shared" si="3"/>
        <v>1</v>
      </c>
      <c r="O20">
        <f t="shared" si="4"/>
        <v>7.1</v>
      </c>
      <c r="P20">
        <f t="shared" si="5"/>
        <v>6.8500000000000005</v>
      </c>
      <c r="Q20">
        <f t="shared" si="6"/>
        <v>3.4349999999999996</v>
      </c>
      <c r="R20">
        <f t="shared" si="7"/>
        <v>0.50896057347670254</v>
      </c>
    </row>
    <row r="21" spans="1:18" x14ac:dyDescent="0.3">
      <c r="A21">
        <v>45677</v>
      </c>
      <c r="B21" t="str">
        <f t="shared" si="0"/>
        <v>January</v>
      </c>
      <c r="C21">
        <f t="shared" si="1"/>
        <v>4</v>
      </c>
      <c r="D21" t="s">
        <v>20</v>
      </c>
      <c r="E21">
        <v>1.92</v>
      </c>
      <c r="F21">
        <v>8.5</v>
      </c>
      <c r="G21">
        <v>0.25</v>
      </c>
      <c r="H21">
        <v>3.64</v>
      </c>
      <c r="I21">
        <v>1.45</v>
      </c>
      <c r="J21">
        <v>1.29</v>
      </c>
      <c r="K21">
        <v>0.8</v>
      </c>
      <c r="L21">
        <v>9</v>
      </c>
      <c r="M21">
        <f t="shared" si="2"/>
        <v>7</v>
      </c>
      <c r="N21">
        <f t="shared" si="3"/>
        <v>0.42428571428571427</v>
      </c>
      <c r="O21">
        <f t="shared" si="4"/>
        <v>2.9699999999999998</v>
      </c>
      <c r="P21">
        <f t="shared" si="5"/>
        <v>6.38</v>
      </c>
      <c r="Q21">
        <f t="shared" si="6"/>
        <v>2.8589999999999995</v>
      </c>
      <c r="R21">
        <f t="shared" si="7"/>
        <v>0.31764705882352939</v>
      </c>
    </row>
    <row r="22" spans="1:18" x14ac:dyDescent="0.3">
      <c r="A22">
        <v>45678</v>
      </c>
      <c r="B22" t="str">
        <f t="shared" si="0"/>
        <v>January</v>
      </c>
      <c r="C22">
        <f t="shared" si="1"/>
        <v>4</v>
      </c>
      <c r="D22" t="s">
        <v>21</v>
      </c>
      <c r="E22">
        <v>3.89</v>
      </c>
      <c r="F22">
        <v>5.89</v>
      </c>
      <c r="G22">
        <v>1.1100000000000001</v>
      </c>
      <c r="H22">
        <v>3.85</v>
      </c>
      <c r="I22">
        <v>2.61</v>
      </c>
      <c r="J22">
        <v>0.49</v>
      </c>
      <c r="K22">
        <v>0.28000000000000003</v>
      </c>
      <c r="L22">
        <v>2</v>
      </c>
      <c r="M22">
        <f t="shared" si="2"/>
        <v>7</v>
      </c>
      <c r="N22">
        <f t="shared" si="3"/>
        <v>0.75428571428571434</v>
      </c>
      <c r="O22">
        <f t="shared" si="4"/>
        <v>5.28</v>
      </c>
      <c r="P22">
        <f t="shared" si="5"/>
        <v>6.95</v>
      </c>
      <c r="Q22">
        <f t="shared" si="6"/>
        <v>2.899</v>
      </c>
      <c r="R22">
        <f t="shared" si="7"/>
        <v>0.43172526573998365</v>
      </c>
    </row>
    <row r="23" spans="1:18" x14ac:dyDescent="0.3">
      <c r="A23">
        <v>45679</v>
      </c>
      <c r="B23" t="str">
        <f t="shared" si="0"/>
        <v>January</v>
      </c>
      <c r="C23">
        <f t="shared" si="1"/>
        <v>4</v>
      </c>
      <c r="D23" t="s">
        <v>15</v>
      </c>
      <c r="E23">
        <v>4.63</v>
      </c>
      <c r="F23">
        <v>6.96</v>
      </c>
      <c r="G23">
        <v>1.89</v>
      </c>
      <c r="H23">
        <v>3.06</v>
      </c>
      <c r="I23">
        <v>2.5299999999999998</v>
      </c>
      <c r="J23">
        <v>0.71</v>
      </c>
      <c r="K23">
        <v>1.77</v>
      </c>
      <c r="L23">
        <v>8</v>
      </c>
      <c r="M23">
        <f t="shared" si="2"/>
        <v>7</v>
      </c>
      <c r="N23">
        <f t="shared" si="3"/>
        <v>1</v>
      </c>
      <c r="O23">
        <f t="shared" si="4"/>
        <v>8.2900000000000009</v>
      </c>
      <c r="P23">
        <f t="shared" si="5"/>
        <v>6.3</v>
      </c>
      <c r="Q23">
        <f t="shared" si="6"/>
        <v>3.7590000000000003</v>
      </c>
      <c r="R23">
        <f t="shared" si="7"/>
        <v>0.56819739547635373</v>
      </c>
    </row>
    <row r="24" spans="1:18" x14ac:dyDescent="0.3">
      <c r="A24">
        <v>45680</v>
      </c>
      <c r="B24" t="str">
        <f t="shared" si="0"/>
        <v>January</v>
      </c>
      <c r="C24">
        <f t="shared" si="1"/>
        <v>4</v>
      </c>
      <c r="D24" t="s">
        <v>16</v>
      </c>
      <c r="E24">
        <v>4.92</v>
      </c>
      <c r="F24">
        <v>8.73</v>
      </c>
      <c r="G24">
        <v>1.1499999999999999</v>
      </c>
      <c r="H24">
        <v>3.37</v>
      </c>
      <c r="I24">
        <v>0.89</v>
      </c>
      <c r="J24">
        <v>0.37</v>
      </c>
      <c r="K24">
        <v>1.36</v>
      </c>
      <c r="L24">
        <v>7</v>
      </c>
      <c r="M24">
        <f t="shared" si="2"/>
        <v>7</v>
      </c>
      <c r="N24">
        <f t="shared" si="3"/>
        <v>1</v>
      </c>
      <c r="O24">
        <f t="shared" si="4"/>
        <v>7.43</v>
      </c>
      <c r="P24">
        <f t="shared" si="5"/>
        <v>4.63</v>
      </c>
      <c r="Q24">
        <f t="shared" si="6"/>
        <v>4.391</v>
      </c>
      <c r="R24">
        <f t="shared" si="7"/>
        <v>0.61608623548922059</v>
      </c>
    </row>
    <row r="25" spans="1:18" x14ac:dyDescent="0.3">
      <c r="A25">
        <v>45681</v>
      </c>
      <c r="B25" t="str">
        <f t="shared" si="0"/>
        <v>January</v>
      </c>
      <c r="C25">
        <f t="shared" si="1"/>
        <v>4</v>
      </c>
      <c r="D25" t="s">
        <v>17</v>
      </c>
      <c r="E25">
        <v>2.02</v>
      </c>
      <c r="F25">
        <v>6.83</v>
      </c>
      <c r="G25">
        <v>1.66</v>
      </c>
      <c r="H25">
        <v>3.31</v>
      </c>
      <c r="I25">
        <v>2.2799999999999998</v>
      </c>
      <c r="J25">
        <v>0.68</v>
      </c>
      <c r="K25">
        <v>1.87</v>
      </c>
      <c r="L25">
        <v>1</v>
      </c>
      <c r="M25">
        <f t="shared" si="2"/>
        <v>7</v>
      </c>
      <c r="N25">
        <f t="shared" si="3"/>
        <v>0.79285714285714282</v>
      </c>
      <c r="O25">
        <f t="shared" si="4"/>
        <v>5.55</v>
      </c>
      <c r="P25">
        <f t="shared" si="5"/>
        <v>6.27</v>
      </c>
      <c r="Q25">
        <f t="shared" si="6"/>
        <v>2.63</v>
      </c>
      <c r="R25">
        <f t="shared" si="7"/>
        <v>0.46954314720812179</v>
      </c>
    </row>
    <row r="26" spans="1:18" x14ac:dyDescent="0.3">
      <c r="A26">
        <v>45682</v>
      </c>
      <c r="B26" t="str">
        <f t="shared" si="0"/>
        <v>January</v>
      </c>
      <c r="C26">
        <f t="shared" si="1"/>
        <v>4</v>
      </c>
      <c r="D26" t="s">
        <v>18</v>
      </c>
      <c r="E26">
        <v>4.01</v>
      </c>
      <c r="F26">
        <v>6.15</v>
      </c>
      <c r="G26">
        <v>0.02</v>
      </c>
      <c r="H26">
        <v>1.43</v>
      </c>
      <c r="I26">
        <v>1.29</v>
      </c>
      <c r="J26">
        <v>1.5</v>
      </c>
      <c r="K26">
        <v>0.92</v>
      </c>
      <c r="L26">
        <v>8</v>
      </c>
      <c r="M26">
        <f t="shared" si="2"/>
        <v>5</v>
      </c>
      <c r="N26">
        <f t="shared" si="3"/>
        <v>0.98999999999999988</v>
      </c>
      <c r="O26">
        <f t="shared" si="4"/>
        <v>4.9499999999999993</v>
      </c>
      <c r="P26">
        <f t="shared" si="5"/>
        <v>4.22</v>
      </c>
      <c r="Q26">
        <f t="shared" si="6"/>
        <v>3.181</v>
      </c>
      <c r="R26">
        <f t="shared" si="7"/>
        <v>0.53980370774263908</v>
      </c>
    </row>
    <row r="27" spans="1:18" x14ac:dyDescent="0.3">
      <c r="A27">
        <v>45683</v>
      </c>
      <c r="B27" t="str">
        <f t="shared" si="0"/>
        <v>January</v>
      </c>
      <c r="C27">
        <f t="shared" si="1"/>
        <v>4</v>
      </c>
      <c r="D27" t="s">
        <v>19</v>
      </c>
      <c r="E27">
        <v>2.58</v>
      </c>
      <c r="F27">
        <v>8.25</v>
      </c>
      <c r="G27">
        <v>1.1399999999999999</v>
      </c>
      <c r="H27">
        <v>3.9</v>
      </c>
      <c r="I27">
        <v>0.54</v>
      </c>
      <c r="J27">
        <v>0.11</v>
      </c>
      <c r="K27">
        <v>1.91</v>
      </c>
      <c r="L27">
        <v>2</v>
      </c>
      <c r="M27">
        <f t="shared" si="2"/>
        <v>5</v>
      </c>
      <c r="N27">
        <f t="shared" si="3"/>
        <v>1</v>
      </c>
      <c r="O27">
        <f t="shared" si="4"/>
        <v>5.63</v>
      </c>
      <c r="P27">
        <f t="shared" si="5"/>
        <v>4.55</v>
      </c>
      <c r="Q27">
        <f t="shared" si="6"/>
        <v>3.2910000000000004</v>
      </c>
      <c r="R27">
        <f t="shared" si="7"/>
        <v>0.55304518664047153</v>
      </c>
    </row>
    <row r="28" spans="1:18" x14ac:dyDescent="0.3">
      <c r="A28">
        <v>45684</v>
      </c>
      <c r="B28" t="str">
        <f t="shared" si="0"/>
        <v>January</v>
      </c>
      <c r="C28">
        <f t="shared" si="1"/>
        <v>5</v>
      </c>
      <c r="D28" t="s">
        <v>20</v>
      </c>
      <c r="E28">
        <v>5.95</v>
      </c>
      <c r="F28">
        <v>5.48</v>
      </c>
      <c r="G28">
        <v>0.09</v>
      </c>
      <c r="H28">
        <v>3.97</v>
      </c>
      <c r="I28">
        <v>1.7</v>
      </c>
      <c r="J28">
        <v>0.79</v>
      </c>
      <c r="K28">
        <v>1.77</v>
      </c>
      <c r="L28">
        <v>4</v>
      </c>
      <c r="M28">
        <f t="shared" si="2"/>
        <v>7</v>
      </c>
      <c r="N28">
        <f t="shared" si="3"/>
        <v>1</v>
      </c>
      <c r="O28">
        <f t="shared" si="4"/>
        <v>7.8100000000000005</v>
      </c>
      <c r="P28">
        <f t="shared" si="5"/>
        <v>6.46</v>
      </c>
      <c r="Q28">
        <f t="shared" si="6"/>
        <v>3.4750000000000005</v>
      </c>
      <c r="R28">
        <f t="shared" si="7"/>
        <v>0.54730203223545904</v>
      </c>
    </row>
    <row r="29" spans="1:18" x14ac:dyDescent="0.3">
      <c r="A29">
        <v>45685</v>
      </c>
      <c r="B29" t="str">
        <f t="shared" si="0"/>
        <v>January</v>
      </c>
      <c r="C29">
        <f t="shared" si="1"/>
        <v>5</v>
      </c>
      <c r="D29" t="s">
        <v>21</v>
      </c>
      <c r="E29">
        <v>3.13</v>
      </c>
      <c r="F29">
        <v>8.69</v>
      </c>
      <c r="G29">
        <v>0.12</v>
      </c>
      <c r="H29">
        <v>2.54</v>
      </c>
      <c r="I29">
        <v>2.79</v>
      </c>
      <c r="J29">
        <v>1.68</v>
      </c>
      <c r="K29">
        <v>0.11</v>
      </c>
      <c r="L29">
        <v>8</v>
      </c>
      <c r="M29">
        <f t="shared" si="2"/>
        <v>7</v>
      </c>
      <c r="N29">
        <f t="shared" si="3"/>
        <v>0.48</v>
      </c>
      <c r="O29">
        <f t="shared" si="4"/>
        <v>3.36</v>
      </c>
      <c r="P29">
        <f t="shared" si="5"/>
        <v>7.01</v>
      </c>
      <c r="Q29">
        <f t="shared" si="6"/>
        <v>3.35</v>
      </c>
      <c r="R29">
        <f t="shared" si="7"/>
        <v>0.32401157184185153</v>
      </c>
    </row>
    <row r="30" spans="1:18" x14ac:dyDescent="0.3">
      <c r="A30">
        <v>45686</v>
      </c>
      <c r="B30" t="str">
        <f t="shared" si="0"/>
        <v>January</v>
      </c>
      <c r="C30">
        <f t="shared" si="1"/>
        <v>5</v>
      </c>
      <c r="D30" t="s">
        <v>15</v>
      </c>
      <c r="E30">
        <v>5.08</v>
      </c>
      <c r="F30">
        <v>8.42</v>
      </c>
      <c r="G30">
        <v>1.1299999999999999</v>
      </c>
      <c r="H30">
        <v>4.37</v>
      </c>
      <c r="I30">
        <v>2.86</v>
      </c>
      <c r="J30">
        <v>0.03</v>
      </c>
      <c r="K30">
        <v>1.58</v>
      </c>
      <c r="L30">
        <v>10</v>
      </c>
      <c r="M30">
        <f t="shared" si="2"/>
        <v>7</v>
      </c>
      <c r="N30">
        <f t="shared" si="3"/>
        <v>1</v>
      </c>
      <c r="O30">
        <f t="shared" si="4"/>
        <v>7.79</v>
      </c>
      <c r="P30">
        <f t="shared" si="5"/>
        <v>7.2600000000000007</v>
      </c>
      <c r="Q30">
        <f t="shared" si="6"/>
        <v>4.0609999999999999</v>
      </c>
      <c r="R30">
        <f t="shared" si="7"/>
        <v>0.51760797342192688</v>
      </c>
    </row>
    <row r="31" spans="1:18" x14ac:dyDescent="0.3">
      <c r="A31">
        <v>45687</v>
      </c>
      <c r="B31" t="str">
        <f t="shared" si="0"/>
        <v>January</v>
      </c>
      <c r="C31">
        <f t="shared" si="1"/>
        <v>5</v>
      </c>
      <c r="D31" t="s">
        <v>16</v>
      </c>
      <c r="E31">
        <v>1.2</v>
      </c>
      <c r="F31">
        <v>5.78</v>
      </c>
      <c r="G31">
        <v>1.34</v>
      </c>
      <c r="H31">
        <v>4.71</v>
      </c>
      <c r="I31">
        <v>1.59</v>
      </c>
      <c r="J31">
        <v>0.42</v>
      </c>
      <c r="K31">
        <v>1.08</v>
      </c>
      <c r="L31">
        <v>8</v>
      </c>
      <c r="M31">
        <f t="shared" si="2"/>
        <v>7</v>
      </c>
      <c r="N31">
        <f t="shared" si="3"/>
        <v>0.51714285714285713</v>
      </c>
      <c r="O31">
        <f t="shared" si="4"/>
        <v>3.62</v>
      </c>
      <c r="P31">
        <f t="shared" si="5"/>
        <v>6.72</v>
      </c>
      <c r="Q31">
        <f t="shared" si="6"/>
        <v>1.8520000000000001</v>
      </c>
      <c r="R31">
        <f t="shared" si="7"/>
        <v>0.3500967117988395</v>
      </c>
    </row>
    <row r="32" spans="1:18" x14ac:dyDescent="0.3">
      <c r="A32">
        <v>45688</v>
      </c>
      <c r="B32" t="str">
        <f t="shared" si="0"/>
        <v>January</v>
      </c>
      <c r="C32">
        <f t="shared" si="1"/>
        <v>5</v>
      </c>
      <c r="D32" t="s">
        <v>17</v>
      </c>
      <c r="E32">
        <v>4.3</v>
      </c>
      <c r="F32">
        <v>6.26</v>
      </c>
      <c r="G32">
        <v>0.87</v>
      </c>
      <c r="H32">
        <v>3.92</v>
      </c>
      <c r="I32">
        <v>2.81</v>
      </c>
      <c r="J32">
        <v>7.0000000000000007E-2</v>
      </c>
      <c r="K32">
        <v>0.66</v>
      </c>
      <c r="L32">
        <v>5</v>
      </c>
      <c r="M32">
        <f t="shared" si="2"/>
        <v>7</v>
      </c>
      <c r="N32">
        <f t="shared" si="3"/>
        <v>0.83285714285714285</v>
      </c>
      <c r="O32">
        <f t="shared" si="4"/>
        <v>5.83</v>
      </c>
      <c r="P32">
        <f t="shared" si="5"/>
        <v>6.8000000000000007</v>
      </c>
      <c r="Q32">
        <f t="shared" si="6"/>
        <v>3.0989999999999998</v>
      </c>
      <c r="R32">
        <f t="shared" si="7"/>
        <v>0.46159936658749007</v>
      </c>
    </row>
    <row r="33" spans="1:18" x14ac:dyDescent="0.3">
      <c r="A33">
        <v>45689</v>
      </c>
      <c r="B33" t="str">
        <f t="shared" si="0"/>
        <v>February</v>
      </c>
      <c r="C33">
        <f t="shared" si="1"/>
        <v>5</v>
      </c>
      <c r="D33" t="s">
        <v>18</v>
      </c>
      <c r="E33">
        <v>4.6100000000000003</v>
      </c>
      <c r="F33">
        <v>8.25</v>
      </c>
      <c r="G33">
        <v>0.7</v>
      </c>
      <c r="H33">
        <v>2.2999999999999998</v>
      </c>
      <c r="I33">
        <v>2.76</v>
      </c>
      <c r="J33">
        <v>1.6</v>
      </c>
      <c r="K33">
        <v>1.71</v>
      </c>
      <c r="L33">
        <v>8</v>
      </c>
      <c r="M33">
        <f t="shared" si="2"/>
        <v>5</v>
      </c>
      <c r="N33">
        <f t="shared" si="3"/>
        <v>1</v>
      </c>
      <c r="O33">
        <f t="shared" si="4"/>
        <v>7.0200000000000005</v>
      </c>
      <c r="P33">
        <f t="shared" si="5"/>
        <v>6.66</v>
      </c>
      <c r="Q33">
        <f t="shared" si="6"/>
        <v>3.9530000000000003</v>
      </c>
      <c r="R33">
        <f t="shared" si="7"/>
        <v>0.51315789473684215</v>
      </c>
    </row>
    <row r="34" spans="1:18" x14ac:dyDescent="0.3">
      <c r="A34">
        <v>45690</v>
      </c>
      <c r="B34" t="str">
        <f t="shared" ref="B34:B65" si="8">TEXT(A34,"MMMM")</f>
        <v>February</v>
      </c>
      <c r="C34">
        <f t="shared" ref="C34:C65" si="9">WEEKNUM(A34,2)</f>
        <v>5</v>
      </c>
      <c r="D34" t="s">
        <v>19</v>
      </c>
      <c r="E34">
        <v>3.85</v>
      </c>
      <c r="F34">
        <v>7.18</v>
      </c>
      <c r="G34">
        <v>1.82</v>
      </c>
      <c r="H34">
        <v>1.93</v>
      </c>
      <c r="I34">
        <v>0.21</v>
      </c>
      <c r="J34">
        <v>1.95</v>
      </c>
      <c r="K34">
        <v>0.69</v>
      </c>
      <c r="L34">
        <v>5</v>
      </c>
      <c r="M34">
        <f t="shared" ref="M34:M65" si="10">IF(D34="Saturday",5,IF(D34="Sunday",5,7))</f>
        <v>5</v>
      </c>
      <c r="N34">
        <f t="shared" ref="N34:N65" si="11">MIN(O34/M34,1)</f>
        <v>1</v>
      </c>
      <c r="O34">
        <f t="shared" ref="O34:O65" si="12">E34+K34+G34</f>
        <v>6.36</v>
      </c>
      <c r="P34">
        <f t="shared" ref="P34:P65" si="13">H34+I34+J34</f>
        <v>4.09</v>
      </c>
      <c r="Q34">
        <f t="shared" ref="Q34:Q65" si="14">MAX(0, MIN(10, (E34*0.4 + F34*0.3 + G34*0.2) - (H34*0.1 + I34*0.1)))</f>
        <v>3.8439999999999999</v>
      </c>
      <c r="R34">
        <f t="shared" ref="R34:R65" si="15">O34/(O34+P34)</f>
        <v>0.6086124401913876</v>
      </c>
    </row>
    <row r="35" spans="1:18" x14ac:dyDescent="0.3">
      <c r="A35">
        <v>45691</v>
      </c>
      <c r="B35" t="str">
        <f t="shared" si="8"/>
        <v>February</v>
      </c>
      <c r="C35">
        <f t="shared" si="9"/>
        <v>6</v>
      </c>
      <c r="D35" t="s">
        <v>20</v>
      </c>
      <c r="E35">
        <v>5.8</v>
      </c>
      <c r="F35">
        <v>6.98</v>
      </c>
      <c r="G35">
        <v>1.71</v>
      </c>
      <c r="H35">
        <v>3.32</v>
      </c>
      <c r="I35">
        <v>2.37</v>
      </c>
      <c r="J35">
        <v>0.25</v>
      </c>
      <c r="K35">
        <v>0.92</v>
      </c>
      <c r="L35">
        <v>1</v>
      </c>
      <c r="M35">
        <f t="shared" si="10"/>
        <v>7</v>
      </c>
      <c r="N35">
        <f t="shared" si="11"/>
        <v>1</v>
      </c>
      <c r="O35">
        <f t="shared" si="12"/>
        <v>8.43</v>
      </c>
      <c r="P35">
        <f t="shared" si="13"/>
        <v>5.9399999999999995</v>
      </c>
      <c r="Q35">
        <f t="shared" si="14"/>
        <v>4.1869999999999994</v>
      </c>
      <c r="R35">
        <f t="shared" si="15"/>
        <v>0.58663883089770352</v>
      </c>
    </row>
    <row r="36" spans="1:18" x14ac:dyDescent="0.3">
      <c r="A36">
        <v>45692</v>
      </c>
      <c r="B36" t="str">
        <f t="shared" si="8"/>
        <v>February</v>
      </c>
      <c r="C36">
        <f t="shared" si="9"/>
        <v>6</v>
      </c>
      <c r="D36" t="s">
        <v>21</v>
      </c>
      <c r="E36">
        <v>4.21</v>
      </c>
      <c r="F36">
        <v>8.56</v>
      </c>
      <c r="G36">
        <v>1.96</v>
      </c>
      <c r="H36">
        <v>4.37</v>
      </c>
      <c r="I36">
        <v>1.38</v>
      </c>
      <c r="J36">
        <v>0.86</v>
      </c>
      <c r="K36">
        <v>0.16</v>
      </c>
      <c r="L36">
        <v>10</v>
      </c>
      <c r="M36">
        <f t="shared" si="10"/>
        <v>7</v>
      </c>
      <c r="N36">
        <f t="shared" si="11"/>
        <v>0.90428571428571425</v>
      </c>
      <c r="O36">
        <f t="shared" si="12"/>
        <v>6.33</v>
      </c>
      <c r="P36">
        <f t="shared" si="13"/>
        <v>6.61</v>
      </c>
      <c r="Q36">
        <f t="shared" si="14"/>
        <v>4.0690000000000008</v>
      </c>
      <c r="R36">
        <f t="shared" si="15"/>
        <v>0.48918083462132916</v>
      </c>
    </row>
    <row r="37" spans="1:18" x14ac:dyDescent="0.3">
      <c r="A37">
        <v>45693</v>
      </c>
      <c r="B37" t="str">
        <f t="shared" si="8"/>
        <v>February</v>
      </c>
      <c r="C37">
        <f t="shared" si="9"/>
        <v>6</v>
      </c>
      <c r="D37" t="s">
        <v>15</v>
      </c>
      <c r="E37">
        <v>3</v>
      </c>
      <c r="F37">
        <v>6.13</v>
      </c>
      <c r="G37">
        <v>1.72</v>
      </c>
      <c r="H37">
        <v>4.2699999999999996</v>
      </c>
      <c r="I37">
        <v>1.25</v>
      </c>
      <c r="J37">
        <v>0.81</v>
      </c>
      <c r="K37">
        <v>1.34</v>
      </c>
      <c r="L37">
        <v>8</v>
      </c>
      <c r="M37">
        <f t="shared" si="10"/>
        <v>7</v>
      </c>
      <c r="N37">
        <f t="shared" si="11"/>
        <v>0.86571428571428566</v>
      </c>
      <c r="O37">
        <f t="shared" si="12"/>
        <v>6.06</v>
      </c>
      <c r="P37">
        <f t="shared" si="13"/>
        <v>6.33</v>
      </c>
      <c r="Q37">
        <f t="shared" si="14"/>
        <v>2.831</v>
      </c>
      <c r="R37">
        <f t="shared" si="15"/>
        <v>0.48910411622276023</v>
      </c>
    </row>
    <row r="38" spans="1:18" x14ac:dyDescent="0.3">
      <c r="A38">
        <v>45694</v>
      </c>
      <c r="B38" t="str">
        <f t="shared" si="8"/>
        <v>February</v>
      </c>
      <c r="C38">
        <f t="shared" si="9"/>
        <v>6</v>
      </c>
      <c r="D38" t="s">
        <v>16</v>
      </c>
      <c r="E38">
        <v>2.81</v>
      </c>
      <c r="F38">
        <v>8.0399999999999991</v>
      </c>
      <c r="G38">
        <v>1.92</v>
      </c>
      <c r="H38">
        <v>1.89</v>
      </c>
      <c r="I38">
        <v>1.1599999999999999</v>
      </c>
      <c r="J38">
        <v>0.47</v>
      </c>
      <c r="K38">
        <v>0.83</v>
      </c>
      <c r="L38">
        <v>3</v>
      </c>
      <c r="M38">
        <f t="shared" si="10"/>
        <v>7</v>
      </c>
      <c r="N38">
        <f t="shared" si="11"/>
        <v>0.79428571428571437</v>
      </c>
      <c r="O38">
        <f t="shared" si="12"/>
        <v>5.5600000000000005</v>
      </c>
      <c r="P38">
        <f t="shared" si="13"/>
        <v>3.5199999999999996</v>
      </c>
      <c r="Q38">
        <f t="shared" si="14"/>
        <v>3.6149999999999993</v>
      </c>
      <c r="R38">
        <f t="shared" si="15"/>
        <v>0.61233480176211463</v>
      </c>
    </row>
    <row r="39" spans="1:18" x14ac:dyDescent="0.3">
      <c r="A39">
        <v>45695</v>
      </c>
      <c r="B39" t="str">
        <f t="shared" si="8"/>
        <v>February</v>
      </c>
      <c r="C39">
        <f t="shared" si="9"/>
        <v>6</v>
      </c>
      <c r="D39" t="s">
        <v>17</v>
      </c>
      <c r="E39">
        <v>3.98</v>
      </c>
      <c r="F39">
        <v>6.97</v>
      </c>
      <c r="G39">
        <v>1.06</v>
      </c>
      <c r="H39">
        <v>1.9</v>
      </c>
      <c r="I39">
        <v>0.36</v>
      </c>
      <c r="J39">
        <v>0.35</v>
      </c>
      <c r="K39">
        <v>1.42</v>
      </c>
      <c r="L39">
        <v>3</v>
      </c>
      <c r="M39">
        <f t="shared" si="10"/>
        <v>7</v>
      </c>
      <c r="N39">
        <f t="shared" si="11"/>
        <v>0.92285714285714293</v>
      </c>
      <c r="O39">
        <f t="shared" si="12"/>
        <v>6.4600000000000009</v>
      </c>
      <c r="P39">
        <f t="shared" si="13"/>
        <v>2.61</v>
      </c>
      <c r="Q39">
        <f t="shared" si="14"/>
        <v>3.669</v>
      </c>
      <c r="R39">
        <f t="shared" si="15"/>
        <v>0.71223814773980165</v>
      </c>
    </row>
    <row r="40" spans="1:18" x14ac:dyDescent="0.3">
      <c r="A40">
        <v>45696</v>
      </c>
      <c r="B40" t="str">
        <f t="shared" si="8"/>
        <v>February</v>
      </c>
      <c r="C40">
        <f t="shared" si="9"/>
        <v>6</v>
      </c>
      <c r="D40" t="s">
        <v>18</v>
      </c>
      <c r="E40">
        <v>3.22</v>
      </c>
      <c r="F40">
        <v>5.34</v>
      </c>
      <c r="G40">
        <v>0.38</v>
      </c>
      <c r="H40">
        <v>4.2300000000000004</v>
      </c>
      <c r="I40">
        <v>1.58</v>
      </c>
      <c r="J40">
        <v>0.64</v>
      </c>
      <c r="K40">
        <v>0.26</v>
      </c>
      <c r="L40">
        <v>2</v>
      </c>
      <c r="M40">
        <f t="shared" si="10"/>
        <v>5</v>
      </c>
      <c r="N40">
        <f t="shared" si="11"/>
        <v>0.77200000000000002</v>
      </c>
      <c r="O40">
        <f t="shared" si="12"/>
        <v>3.8600000000000003</v>
      </c>
      <c r="P40">
        <f t="shared" si="13"/>
        <v>6.45</v>
      </c>
      <c r="Q40">
        <f t="shared" si="14"/>
        <v>2.3850000000000002</v>
      </c>
      <c r="R40">
        <f t="shared" si="15"/>
        <v>0.37439379243452958</v>
      </c>
    </row>
    <row r="41" spans="1:18" x14ac:dyDescent="0.3">
      <c r="A41">
        <v>45697</v>
      </c>
      <c r="B41" t="str">
        <f t="shared" si="8"/>
        <v>February</v>
      </c>
      <c r="C41">
        <f t="shared" si="9"/>
        <v>6</v>
      </c>
      <c r="D41" t="s">
        <v>19</v>
      </c>
      <c r="E41">
        <v>5.69</v>
      </c>
      <c r="F41">
        <v>7.8</v>
      </c>
      <c r="G41">
        <v>0.51</v>
      </c>
      <c r="H41">
        <v>2.31</v>
      </c>
      <c r="I41">
        <v>2.11</v>
      </c>
      <c r="J41">
        <v>0.49</v>
      </c>
      <c r="K41">
        <v>1.19</v>
      </c>
      <c r="L41">
        <v>6</v>
      </c>
      <c r="M41">
        <f t="shared" si="10"/>
        <v>5</v>
      </c>
      <c r="N41">
        <f t="shared" si="11"/>
        <v>1</v>
      </c>
      <c r="O41">
        <f t="shared" si="12"/>
        <v>7.3900000000000006</v>
      </c>
      <c r="P41">
        <f t="shared" si="13"/>
        <v>4.91</v>
      </c>
      <c r="Q41">
        <f t="shared" si="14"/>
        <v>4.2759999999999998</v>
      </c>
      <c r="R41">
        <f t="shared" si="15"/>
        <v>0.60081300813008132</v>
      </c>
    </row>
    <row r="42" spans="1:18" x14ac:dyDescent="0.3">
      <c r="A42">
        <v>45698</v>
      </c>
      <c r="B42" t="str">
        <f t="shared" si="8"/>
        <v>February</v>
      </c>
      <c r="C42">
        <f t="shared" si="9"/>
        <v>7</v>
      </c>
      <c r="D42" t="s">
        <v>20</v>
      </c>
      <c r="E42">
        <v>3.36</v>
      </c>
      <c r="F42">
        <v>5.58</v>
      </c>
      <c r="G42">
        <v>1.94</v>
      </c>
      <c r="H42">
        <v>4.7699999999999996</v>
      </c>
      <c r="I42">
        <v>1.44</v>
      </c>
      <c r="J42">
        <v>0.89</v>
      </c>
      <c r="K42">
        <v>0.45</v>
      </c>
      <c r="L42">
        <v>4</v>
      </c>
      <c r="M42">
        <f t="shared" si="10"/>
        <v>7</v>
      </c>
      <c r="N42">
        <f t="shared" si="11"/>
        <v>0.8214285714285714</v>
      </c>
      <c r="O42">
        <f t="shared" si="12"/>
        <v>5.75</v>
      </c>
      <c r="P42">
        <f t="shared" si="13"/>
        <v>7.0999999999999988</v>
      </c>
      <c r="Q42">
        <f t="shared" si="14"/>
        <v>2.7849999999999997</v>
      </c>
      <c r="R42">
        <f t="shared" si="15"/>
        <v>0.44747081712062264</v>
      </c>
    </row>
    <row r="43" spans="1:18" x14ac:dyDescent="0.3">
      <c r="A43">
        <v>45699</v>
      </c>
      <c r="B43" t="str">
        <f t="shared" si="8"/>
        <v>February</v>
      </c>
      <c r="C43">
        <f t="shared" si="9"/>
        <v>7</v>
      </c>
      <c r="D43" t="s">
        <v>21</v>
      </c>
      <c r="E43">
        <v>3.68</v>
      </c>
      <c r="F43">
        <v>6.77</v>
      </c>
      <c r="G43">
        <v>1.96</v>
      </c>
      <c r="H43">
        <v>3.32</v>
      </c>
      <c r="I43">
        <v>2.39</v>
      </c>
      <c r="J43">
        <v>0.08</v>
      </c>
      <c r="K43">
        <v>0.78</v>
      </c>
      <c r="L43">
        <v>4</v>
      </c>
      <c r="M43">
        <f t="shared" si="10"/>
        <v>7</v>
      </c>
      <c r="N43">
        <f t="shared" si="11"/>
        <v>0.91714285714285715</v>
      </c>
      <c r="O43">
        <f t="shared" si="12"/>
        <v>6.42</v>
      </c>
      <c r="P43">
        <f t="shared" si="13"/>
        <v>5.79</v>
      </c>
      <c r="Q43">
        <f t="shared" si="14"/>
        <v>3.3239999999999998</v>
      </c>
      <c r="R43">
        <f t="shared" si="15"/>
        <v>0.52579852579852571</v>
      </c>
    </row>
    <row r="44" spans="1:18" x14ac:dyDescent="0.3">
      <c r="A44">
        <v>45700</v>
      </c>
      <c r="B44" t="str">
        <f t="shared" si="8"/>
        <v>February</v>
      </c>
      <c r="C44">
        <f t="shared" si="9"/>
        <v>7</v>
      </c>
      <c r="D44" t="s">
        <v>15</v>
      </c>
      <c r="E44">
        <v>3.08</v>
      </c>
      <c r="F44">
        <v>5.99</v>
      </c>
      <c r="G44">
        <v>0.11</v>
      </c>
      <c r="H44">
        <v>4.66</v>
      </c>
      <c r="I44">
        <v>0.25</v>
      </c>
      <c r="J44">
        <v>1.71</v>
      </c>
      <c r="K44">
        <v>1.83</v>
      </c>
      <c r="L44">
        <v>9</v>
      </c>
      <c r="M44">
        <f t="shared" si="10"/>
        <v>7</v>
      </c>
      <c r="N44">
        <f t="shared" si="11"/>
        <v>0.71714285714285719</v>
      </c>
      <c r="O44">
        <f t="shared" si="12"/>
        <v>5.0200000000000005</v>
      </c>
      <c r="P44">
        <f t="shared" si="13"/>
        <v>6.62</v>
      </c>
      <c r="Q44">
        <f t="shared" si="14"/>
        <v>2.5599999999999996</v>
      </c>
      <c r="R44">
        <f t="shared" si="15"/>
        <v>0.43127147766323026</v>
      </c>
    </row>
    <row r="45" spans="1:18" x14ac:dyDescent="0.3">
      <c r="A45">
        <v>45701</v>
      </c>
      <c r="B45" t="str">
        <f t="shared" si="8"/>
        <v>February</v>
      </c>
      <c r="C45">
        <f t="shared" si="9"/>
        <v>7</v>
      </c>
      <c r="D45" t="s">
        <v>16</v>
      </c>
      <c r="E45">
        <v>4.5599999999999996</v>
      </c>
      <c r="F45">
        <v>6.25</v>
      </c>
      <c r="G45">
        <v>0.9</v>
      </c>
      <c r="H45">
        <v>4.76</v>
      </c>
      <c r="I45">
        <v>2.68</v>
      </c>
      <c r="J45">
        <v>0.28999999999999998</v>
      </c>
      <c r="K45">
        <v>1.18</v>
      </c>
      <c r="L45">
        <v>1</v>
      </c>
      <c r="M45">
        <f t="shared" si="10"/>
        <v>7</v>
      </c>
      <c r="N45">
        <f t="shared" si="11"/>
        <v>0.94857142857142851</v>
      </c>
      <c r="O45">
        <f t="shared" si="12"/>
        <v>6.64</v>
      </c>
      <c r="P45">
        <f t="shared" si="13"/>
        <v>7.7299999999999995</v>
      </c>
      <c r="Q45">
        <f t="shared" si="14"/>
        <v>3.1349999999999998</v>
      </c>
      <c r="R45">
        <f t="shared" si="15"/>
        <v>0.46207376478775225</v>
      </c>
    </row>
    <row r="46" spans="1:18" x14ac:dyDescent="0.3">
      <c r="A46">
        <v>45702</v>
      </c>
      <c r="B46" t="str">
        <f t="shared" si="8"/>
        <v>February</v>
      </c>
      <c r="C46">
        <f t="shared" si="9"/>
        <v>7</v>
      </c>
      <c r="D46" t="s">
        <v>17</v>
      </c>
      <c r="E46">
        <v>4.33</v>
      </c>
      <c r="F46">
        <v>8.51</v>
      </c>
      <c r="G46">
        <v>0.59</v>
      </c>
      <c r="H46">
        <v>4.68</v>
      </c>
      <c r="I46">
        <v>1.75</v>
      </c>
      <c r="J46">
        <v>0.92</v>
      </c>
      <c r="K46">
        <v>1.35</v>
      </c>
      <c r="L46">
        <v>5</v>
      </c>
      <c r="M46">
        <f t="shared" si="10"/>
        <v>7</v>
      </c>
      <c r="N46">
        <f t="shared" si="11"/>
        <v>0.89571428571428569</v>
      </c>
      <c r="O46">
        <f t="shared" si="12"/>
        <v>6.27</v>
      </c>
      <c r="P46">
        <f t="shared" si="13"/>
        <v>7.35</v>
      </c>
      <c r="Q46">
        <f t="shared" si="14"/>
        <v>3.7600000000000007</v>
      </c>
      <c r="R46">
        <f t="shared" si="15"/>
        <v>0.46035242290748896</v>
      </c>
    </row>
    <row r="47" spans="1:18" x14ac:dyDescent="0.3">
      <c r="A47">
        <v>45703</v>
      </c>
      <c r="B47" t="str">
        <f t="shared" si="8"/>
        <v>February</v>
      </c>
      <c r="C47">
        <f t="shared" si="9"/>
        <v>7</v>
      </c>
      <c r="D47" t="s">
        <v>18</v>
      </c>
      <c r="E47">
        <v>1.28</v>
      </c>
      <c r="F47">
        <v>5.68</v>
      </c>
      <c r="G47">
        <v>1.44</v>
      </c>
      <c r="H47">
        <v>3.23</v>
      </c>
      <c r="I47">
        <v>1.84</v>
      </c>
      <c r="J47">
        <v>0.3</v>
      </c>
      <c r="K47">
        <v>1.75</v>
      </c>
      <c r="L47">
        <v>5</v>
      </c>
      <c r="M47">
        <f t="shared" si="10"/>
        <v>5</v>
      </c>
      <c r="N47">
        <f t="shared" si="11"/>
        <v>0.89400000000000013</v>
      </c>
      <c r="O47">
        <f t="shared" si="12"/>
        <v>4.4700000000000006</v>
      </c>
      <c r="P47">
        <f t="shared" si="13"/>
        <v>5.37</v>
      </c>
      <c r="Q47">
        <f t="shared" si="14"/>
        <v>1.9969999999999999</v>
      </c>
      <c r="R47">
        <f t="shared" si="15"/>
        <v>0.4542682926829269</v>
      </c>
    </row>
    <row r="48" spans="1:18" x14ac:dyDescent="0.3">
      <c r="A48">
        <v>45704</v>
      </c>
      <c r="B48" t="str">
        <f t="shared" si="8"/>
        <v>February</v>
      </c>
      <c r="C48">
        <f t="shared" si="9"/>
        <v>7</v>
      </c>
      <c r="D48" t="s">
        <v>19</v>
      </c>
      <c r="E48">
        <v>4.72</v>
      </c>
      <c r="F48">
        <v>8.11</v>
      </c>
      <c r="G48">
        <v>0.54</v>
      </c>
      <c r="H48">
        <v>4.46</v>
      </c>
      <c r="I48">
        <v>0.34</v>
      </c>
      <c r="J48">
        <v>0.86</v>
      </c>
      <c r="K48">
        <v>1.01</v>
      </c>
      <c r="L48">
        <v>1</v>
      </c>
      <c r="M48">
        <f t="shared" si="10"/>
        <v>5</v>
      </c>
      <c r="N48">
        <f t="shared" si="11"/>
        <v>1</v>
      </c>
      <c r="O48">
        <f t="shared" si="12"/>
        <v>6.27</v>
      </c>
      <c r="P48">
        <f t="shared" si="13"/>
        <v>5.66</v>
      </c>
      <c r="Q48">
        <f t="shared" si="14"/>
        <v>3.9489999999999994</v>
      </c>
      <c r="R48">
        <f t="shared" si="15"/>
        <v>0.52556580050293378</v>
      </c>
    </row>
    <row r="49" spans="1:18" x14ac:dyDescent="0.3">
      <c r="A49">
        <v>45705</v>
      </c>
      <c r="B49" t="str">
        <f t="shared" si="8"/>
        <v>February</v>
      </c>
      <c r="C49">
        <f t="shared" si="9"/>
        <v>8</v>
      </c>
      <c r="D49" t="s">
        <v>20</v>
      </c>
      <c r="E49">
        <v>4.97</v>
      </c>
      <c r="F49">
        <v>5.14</v>
      </c>
      <c r="G49">
        <v>1.99</v>
      </c>
      <c r="H49">
        <v>4.76</v>
      </c>
      <c r="I49">
        <v>2.0299999999999998</v>
      </c>
      <c r="J49">
        <v>1.29</v>
      </c>
      <c r="K49">
        <v>0.98</v>
      </c>
      <c r="L49">
        <v>5</v>
      </c>
      <c r="M49">
        <f t="shared" si="10"/>
        <v>7</v>
      </c>
      <c r="N49">
        <f t="shared" si="11"/>
        <v>1</v>
      </c>
      <c r="O49">
        <f t="shared" si="12"/>
        <v>7.9399999999999995</v>
      </c>
      <c r="P49">
        <f t="shared" si="13"/>
        <v>8.0799999999999983</v>
      </c>
      <c r="Q49">
        <f t="shared" si="14"/>
        <v>3.2490000000000001</v>
      </c>
      <c r="R49">
        <f t="shared" si="15"/>
        <v>0.49563046192259685</v>
      </c>
    </row>
    <row r="50" spans="1:18" x14ac:dyDescent="0.3">
      <c r="A50">
        <v>45706</v>
      </c>
      <c r="B50" t="str">
        <f t="shared" si="8"/>
        <v>February</v>
      </c>
      <c r="C50">
        <f t="shared" si="9"/>
        <v>8</v>
      </c>
      <c r="D50" t="s">
        <v>21</v>
      </c>
      <c r="E50">
        <v>1.42</v>
      </c>
      <c r="F50">
        <v>5.12</v>
      </c>
      <c r="G50">
        <v>1.06</v>
      </c>
      <c r="H50">
        <v>2.69</v>
      </c>
      <c r="I50">
        <v>0.65</v>
      </c>
      <c r="J50">
        <v>1.85</v>
      </c>
      <c r="K50">
        <v>1.61</v>
      </c>
      <c r="L50">
        <v>3</v>
      </c>
      <c r="M50">
        <f t="shared" si="10"/>
        <v>7</v>
      </c>
      <c r="N50">
        <f t="shared" si="11"/>
        <v>0.5842857142857143</v>
      </c>
      <c r="O50">
        <f t="shared" si="12"/>
        <v>4.09</v>
      </c>
      <c r="P50">
        <f t="shared" si="13"/>
        <v>5.1899999999999995</v>
      </c>
      <c r="Q50">
        <f t="shared" si="14"/>
        <v>1.9820000000000002</v>
      </c>
      <c r="R50">
        <f t="shared" si="15"/>
        <v>0.44073275862068967</v>
      </c>
    </row>
    <row r="51" spans="1:18" x14ac:dyDescent="0.3">
      <c r="A51">
        <v>45707</v>
      </c>
      <c r="B51" t="str">
        <f t="shared" si="8"/>
        <v>February</v>
      </c>
      <c r="C51">
        <f t="shared" si="9"/>
        <v>8</v>
      </c>
      <c r="D51" t="s">
        <v>15</v>
      </c>
      <c r="E51">
        <v>2.15</v>
      </c>
      <c r="F51">
        <v>8.34</v>
      </c>
      <c r="G51">
        <v>1.92</v>
      </c>
      <c r="H51">
        <v>1.46</v>
      </c>
      <c r="I51">
        <v>0.27</v>
      </c>
      <c r="J51">
        <v>0.61</v>
      </c>
      <c r="K51">
        <v>0.41</v>
      </c>
      <c r="L51">
        <v>7</v>
      </c>
      <c r="M51">
        <f t="shared" si="10"/>
        <v>7</v>
      </c>
      <c r="N51">
        <f t="shared" si="11"/>
        <v>0.64</v>
      </c>
      <c r="O51">
        <f t="shared" si="12"/>
        <v>4.4800000000000004</v>
      </c>
      <c r="P51">
        <f t="shared" si="13"/>
        <v>2.34</v>
      </c>
      <c r="Q51">
        <f t="shared" si="14"/>
        <v>3.5729999999999995</v>
      </c>
      <c r="R51">
        <f t="shared" si="15"/>
        <v>0.6568914956011731</v>
      </c>
    </row>
    <row r="52" spans="1:18" x14ac:dyDescent="0.3">
      <c r="A52">
        <v>45708</v>
      </c>
      <c r="B52" t="str">
        <f t="shared" si="8"/>
        <v>February</v>
      </c>
      <c r="C52">
        <f t="shared" si="9"/>
        <v>8</v>
      </c>
      <c r="D52" t="s">
        <v>16</v>
      </c>
      <c r="E52">
        <v>1.1000000000000001</v>
      </c>
      <c r="F52">
        <v>5.65</v>
      </c>
      <c r="G52">
        <v>1.59</v>
      </c>
      <c r="H52">
        <v>1.72</v>
      </c>
      <c r="I52">
        <v>0.04</v>
      </c>
      <c r="J52">
        <v>0.59</v>
      </c>
      <c r="K52">
        <v>1.34</v>
      </c>
      <c r="L52">
        <v>7</v>
      </c>
      <c r="M52">
        <f t="shared" si="10"/>
        <v>7</v>
      </c>
      <c r="N52">
        <f t="shared" si="11"/>
        <v>0.57571428571428573</v>
      </c>
      <c r="O52">
        <f t="shared" si="12"/>
        <v>4.03</v>
      </c>
      <c r="P52">
        <f t="shared" si="13"/>
        <v>2.35</v>
      </c>
      <c r="Q52">
        <f t="shared" si="14"/>
        <v>2.2770000000000001</v>
      </c>
      <c r="R52">
        <f t="shared" si="15"/>
        <v>0.6316614420062695</v>
      </c>
    </row>
    <row r="53" spans="1:18" x14ac:dyDescent="0.3">
      <c r="A53">
        <v>45709</v>
      </c>
      <c r="B53" t="str">
        <f t="shared" si="8"/>
        <v>February</v>
      </c>
      <c r="C53">
        <f t="shared" si="9"/>
        <v>8</v>
      </c>
      <c r="D53" t="s">
        <v>17</v>
      </c>
      <c r="E53">
        <v>3.45</v>
      </c>
      <c r="F53">
        <v>5.33</v>
      </c>
      <c r="G53">
        <v>1.01</v>
      </c>
      <c r="H53">
        <v>3.95</v>
      </c>
      <c r="I53">
        <v>0.9</v>
      </c>
      <c r="J53">
        <v>0.5</v>
      </c>
      <c r="K53">
        <v>1.76</v>
      </c>
      <c r="L53">
        <v>8</v>
      </c>
      <c r="M53">
        <f t="shared" si="10"/>
        <v>7</v>
      </c>
      <c r="N53">
        <f t="shared" si="11"/>
        <v>0.88857142857142857</v>
      </c>
      <c r="O53">
        <f t="shared" si="12"/>
        <v>6.22</v>
      </c>
      <c r="P53">
        <f t="shared" si="13"/>
        <v>5.3500000000000005</v>
      </c>
      <c r="Q53">
        <f t="shared" si="14"/>
        <v>2.6960000000000002</v>
      </c>
      <c r="R53">
        <f t="shared" si="15"/>
        <v>0.53759723422644767</v>
      </c>
    </row>
    <row r="54" spans="1:18" x14ac:dyDescent="0.3">
      <c r="A54">
        <v>45710</v>
      </c>
      <c r="B54" t="str">
        <f t="shared" si="8"/>
        <v>February</v>
      </c>
      <c r="C54">
        <f t="shared" si="9"/>
        <v>8</v>
      </c>
      <c r="D54" t="s">
        <v>18</v>
      </c>
      <c r="E54">
        <v>2.1800000000000002</v>
      </c>
      <c r="F54">
        <v>7.39</v>
      </c>
      <c r="G54">
        <v>1.05</v>
      </c>
      <c r="H54">
        <v>3.27</v>
      </c>
      <c r="I54">
        <v>2.2599999999999998</v>
      </c>
      <c r="J54">
        <v>0.14000000000000001</v>
      </c>
      <c r="K54">
        <v>1.17</v>
      </c>
      <c r="L54">
        <v>2</v>
      </c>
      <c r="M54">
        <f t="shared" si="10"/>
        <v>5</v>
      </c>
      <c r="N54">
        <f t="shared" si="11"/>
        <v>0.88000000000000012</v>
      </c>
      <c r="O54">
        <f t="shared" si="12"/>
        <v>4.4000000000000004</v>
      </c>
      <c r="P54">
        <f t="shared" si="13"/>
        <v>5.669999999999999</v>
      </c>
      <c r="Q54">
        <f t="shared" si="14"/>
        <v>2.7459999999999996</v>
      </c>
      <c r="R54">
        <f t="shared" si="15"/>
        <v>0.43694141012909637</v>
      </c>
    </row>
    <row r="55" spans="1:18" x14ac:dyDescent="0.3">
      <c r="A55">
        <v>45711</v>
      </c>
      <c r="B55" t="str">
        <f t="shared" si="8"/>
        <v>February</v>
      </c>
      <c r="C55">
        <f t="shared" si="9"/>
        <v>8</v>
      </c>
      <c r="D55" t="s">
        <v>19</v>
      </c>
      <c r="E55">
        <v>2.5299999999999998</v>
      </c>
      <c r="F55">
        <v>5.4</v>
      </c>
      <c r="G55">
        <v>0.88</v>
      </c>
      <c r="H55">
        <v>4.54</v>
      </c>
      <c r="I55">
        <v>0.13</v>
      </c>
      <c r="J55">
        <v>1.84</v>
      </c>
      <c r="K55">
        <v>1.58</v>
      </c>
      <c r="L55">
        <v>7</v>
      </c>
      <c r="M55">
        <f t="shared" si="10"/>
        <v>5</v>
      </c>
      <c r="N55">
        <f t="shared" si="11"/>
        <v>0.99799999999999989</v>
      </c>
      <c r="O55">
        <f t="shared" si="12"/>
        <v>4.9899999999999993</v>
      </c>
      <c r="P55">
        <f t="shared" si="13"/>
        <v>6.51</v>
      </c>
      <c r="Q55">
        <f t="shared" si="14"/>
        <v>2.3410000000000002</v>
      </c>
      <c r="R55">
        <f t="shared" si="15"/>
        <v>0.43391304347826082</v>
      </c>
    </row>
    <row r="56" spans="1:18" x14ac:dyDescent="0.3">
      <c r="A56">
        <v>45712</v>
      </c>
      <c r="B56" t="str">
        <f t="shared" si="8"/>
        <v>February</v>
      </c>
      <c r="C56">
        <f t="shared" si="9"/>
        <v>9</v>
      </c>
      <c r="D56" t="s">
        <v>20</v>
      </c>
      <c r="E56">
        <v>3.27</v>
      </c>
      <c r="F56">
        <v>8.11</v>
      </c>
      <c r="G56">
        <v>1.73</v>
      </c>
      <c r="H56">
        <v>2.34</v>
      </c>
      <c r="I56">
        <v>1.59</v>
      </c>
      <c r="J56">
        <v>0.61</v>
      </c>
      <c r="K56">
        <v>0.2</v>
      </c>
      <c r="L56">
        <v>3</v>
      </c>
      <c r="M56">
        <f t="shared" si="10"/>
        <v>7</v>
      </c>
      <c r="N56">
        <f t="shared" si="11"/>
        <v>0.74285714285714288</v>
      </c>
      <c r="O56">
        <f t="shared" si="12"/>
        <v>5.2</v>
      </c>
      <c r="P56">
        <f t="shared" si="13"/>
        <v>4.54</v>
      </c>
      <c r="Q56">
        <f t="shared" si="14"/>
        <v>3.694</v>
      </c>
      <c r="R56">
        <f t="shared" si="15"/>
        <v>0.53388090349075978</v>
      </c>
    </row>
    <row r="57" spans="1:18" x14ac:dyDescent="0.3">
      <c r="A57">
        <v>45713</v>
      </c>
      <c r="B57" t="str">
        <f t="shared" si="8"/>
        <v>February</v>
      </c>
      <c r="C57">
        <f t="shared" si="9"/>
        <v>9</v>
      </c>
      <c r="D57" t="s">
        <v>21</v>
      </c>
      <c r="E57">
        <v>2.4700000000000002</v>
      </c>
      <c r="F57">
        <v>8.67</v>
      </c>
      <c r="G57">
        <v>1.4</v>
      </c>
      <c r="H57">
        <v>1.65</v>
      </c>
      <c r="I57">
        <v>0.04</v>
      </c>
      <c r="J57">
        <v>0.62</v>
      </c>
      <c r="K57">
        <v>0.95</v>
      </c>
      <c r="L57">
        <v>8</v>
      </c>
      <c r="M57">
        <f t="shared" si="10"/>
        <v>7</v>
      </c>
      <c r="N57">
        <f t="shared" si="11"/>
        <v>0.68857142857142861</v>
      </c>
      <c r="O57">
        <f t="shared" si="12"/>
        <v>4.82</v>
      </c>
      <c r="P57">
        <f t="shared" si="13"/>
        <v>2.31</v>
      </c>
      <c r="Q57">
        <f t="shared" si="14"/>
        <v>3.6999999999999997</v>
      </c>
      <c r="R57">
        <f t="shared" si="15"/>
        <v>0.67601683029453008</v>
      </c>
    </row>
    <row r="58" spans="1:18" x14ac:dyDescent="0.3">
      <c r="A58">
        <v>45714</v>
      </c>
      <c r="B58" t="str">
        <f t="shared" si="8"/>
        <v>February</v>
      </c>
      <c r="C58">
        <f t="shared" si="9"/>
        <v>9</v>
      </c>
      <c r="D58" t="s">
        <v>15</v>
      </c>
      <c r="E58">
        <v>4.29</v>
      </c>
      <c r="F58">
        <v>6.54</v>
      </c>
      <c r="G58">
        <v>1.26</v>
      </c>
      <c r="H58">
        <v>3.16</v>
      </c>
      <c r="I58">
        <v>2.0299999999999998</v>
      </c>
      <c r="J58">
        <v>0.59</v>
      </c>
      <c r="K58">
        <v>1.2</v>
      </c>
      <c r="L58">
        <v>5</v>
      </c>
      <c r="M58">
        <f t="shared" si="10"/>
        <v>7</v>
      </c>
      <c r="N58">
        <f t="shared" si="11"/>
        <v>0.9642857142857143</v>
      </c>
      <c r="O58">
        <f t="shared" si="12"/>
        <v>6.75</v>
      </c>
      <c r="P58">
        <f t="shared" si="13"/>
        <v>5.7799999999999994</v>
      </c>
      <c r="Q58">
        <f t="shared" si="14"/>
        <v>3.4109999999999996</v>
      </c>
      <c r="R58">
        <f t="shared" si="15"/>
        <v>0.53870710295291302</v>
      </c>
    </row>
    <row r="59" spans="1:18" x14ac:dyDescent="0.3">
      <c r="A59">
        <v>45715</v>
      </c>
      <c r="B59" t="str">
        <f t="shared" si="8"/>
        <v>February</v>
      </c>
      <c r="C59">
        <f t="shared" si="9"/>
        <v>9</v>
      </c>
      <c r="D59" t="s">
        <v>16</v>
      </c>
      <c r="E59">
        <v>4.9000000000000004</v>
      </c>
      <c r="F59">
        <v>6.03</v>
      </c>
      <c r="G59">
        <v>1.33</v>
      </c>
      <c r="H59">
        <v>2.4300000000000002</v>
      </c>
      <c r="I59">
        <v>1.31</v>
      </c>
      <c r="J59">
        <v>0.12</v>
      </c>
      <c r="K59">
        <v>1.82</v>
      </c>
      <c r="L59">
        <v>2</v>
      </c>
      <c r="M59">
        <f t="shared" si="10"/>
        <v>7</v>
      </c>
      <c r="N59">
        <f t="shared" si="11"/>
        <v>1</v>
      </c>
      <c r="O59">
        <f t="shared" si="12"/>
        <v>8.0500000000000007</v>
      </c>
      <c r="P59">
        <f t="shared" si="13"/>
        <v>3.8600000000000003</v>
      </c>
      <c r="Q59">
        <f t="shared" si="14"/>
        <v>3.661</v>
      </c>
      <c r="R59">
        <f t="shared" si="15"/>
        <v>0.67590260285474402</v>
      </c>
    </row>
    <row r="60" spans="1:18" x14ac:dyDescent="0.3">
      <c r="A60">
        <v>45716</v>
      </c>
      <c r="B60" t="str">
        <f t="shared" si="8"/>
        <v>February</v>
      </c>
      <c r="C60">
        <f t="shared" si="9"/>
        <v>9</v>
      </c>
      <c r="D60" t="s">
        <v>17</v>
      </c>
      <c r="E60">
        <v>1.43</v>
      </c>
      <c r="F60">
        <v>6.04</v>
      </c>
      <c r="G60">
        <v>0.25</v>
      </c>
      <c r="H60">
        <v>1.76</v>
      </c>
      <c r="I60">
        <v>2.0099999999999998</v>
      </c>
      <c r="J60">
        <v>0.81</v>
      </c>
      <c r="K60">
        <v>1.72</v>
      </c>
      <c r="L60">
        <v>7</v>
      </c>
      <c r="M60">
        <f t="shared" si="10"/>
        <v>7</v>
      </c>
      <c r="N60">
        <f t="shared" si="11"/>
        <v>0.48571428571428571</v>
      </c>
      <c r="O60">
        <f t="shared" si="12"/>
        <v>3.4</v>
      </c>
      <c r="P60">
        <f t="shared" si="13"/>
        <v>4.58</v>
      </c>
      <c r="Q60">
        <f t="shared" si="14"/>
        <v>2.0569999999999995</v>
      </c>
      <c r="R60">
        <f t="shared" si="15"/>
        <v>0.42606516290726815</v>
      </c>
    </row>
    <row r="61" spans="1:18" x14ac:dyDescent="0.3">
      <c r="A61">
        <v>45717</v>
      </c>
      <c r="B61" t="str">
        <f t="shared" si="8"/>
        <v>March</v>
      </c>
      <c r="C61">
        <f t="shared" si="9"/>
        <v>9</v>
      </c>
      <c r="D61" t="s">
        <v>18</v>
      </c>
      <c r="E61">
        <v>5.75</v>
      </c>
      <c r="F61">
        <v>6.62</v>
      </c>
      <c r="G61">
        <v>0.13</v>
      </c>
      <c r="H61">
        <v>3.12</v>
      </c>
      <c r="I61">
        <v>1.83</v>
      </c>
      <c r="J61">
        <v>1.41</v>
      </c>
      <c r="K61">
        <v>1.74</v>
      </c>
      <c r="L61">
        <v>3</v>
      </c>
      <c r="M61">
        <f t="shared" si="10"/>
        <v>5</v>
      </c>
      <c r="N61">
        <f t="shared" si="11"/>
        <v>1</v>
      </c>
      <c r="O61">
        <f t="shared" si="12"/>
        <v>7.62</v>
      </c>
      <c r="P61">
        <f t="shared" si="13"/>
        <v>6.36</v>
      </c>
      <c r="Q61">
        <f t="shared" si="14"/>
        <v>3.8170000000000002</v>
      </c>
      <c r="R61">
        <f t="shared" si="15"/>
        <v>0.54506437768240346</v>
      </c>
    </row>
    <row r="62" spans="1:18" x14ac:dyDescent="0.3">
      <c r="A62">
        <v>45718</v>
      </c>
      <c r="B62" t="str">
        <f t="shared" si="8"/>
        <v>March</v>
      </c>
      <c r="C62">
        <f t="shared" si="9"/>
        <v>9</v>
      </c>
      <c r="D62" t="s">
        <v>19</v>
      </c>
      <c r="E62">
        <v>1.23</v>
      </c>
      <c r="F62">
        <v>8.57</v>
      </c>
      <c r="G62">
        <v>1.38</v>
      </c>
      <c r="H62">
        <v>4.3600000000000003</v>
      </c>
      <c r="I62">
        <v>2.0699999999999998</v>
      </c>
      <c r="J62">
        <v>1.1599999999999999</v>
      </c>
      <c r="K62">
        <v>1.47</v>
      </c>
      <c r="L62">
        <v>10</v>
      </c>
      <c r="M62">
        <f t="shared" si="10"/>
        <v>5</v>
      </c>
      <c r="N62">
        <f t="shared" si="11"/>
        <v>0.81600000000000006</v>
      </c>
      <c r="O62">
        <f t="shared" si="12"/>
        <v>4.08</v>
      </c>
      <c r="P62">
        <f t="shared" si="13"/>
        <v>7.59</v>
      </c>
      <c r="Q62">
        <f t="shared" si="14"/>
        <v>2.6959999999999997</v>
      </c>
      <c r="R62">
        <f t="shared" si="15"/>
        <v>0.34961439588688947</v>
      </c>
    </row>
    <row r="63" spans="1:18" x14ac:dyDescent="0.3">
      <c r="A63">
        <v>45719</v>
      </c>
      <c r="B63" t="str">
        <f t="shared" si="8"/>
        <v>March</v>
      </c>
      <c r="C63">
        <f t="shared" si="9"/>
        <v>10</v>
      </c>
      <c r="D63" t="s">
        <v>20</v>
      </c>
      <c r="E63">
        <v>3.68</v>
      </c>
      <c r="F63">
        <v>5.18</v>
      </c>
      <c r="G63">
        <v>0.05</v>
      </c>
      <c r="H63">
        <v>1.04</v>
      </c>
      <c r="I63">
        <v>0.42</v>
      </c>
      <c r="J63">
        <v>1.41</v>
      </c>
      <c r="K63">
        <v>1.62</v>
      </c>
      <c r="L63">
        <v>9</v>
      </c>
      <c r="M63">
        <f t="shared" si="10"/>
        <v>7</v>
      </c>
      <c r="N63">
        <f t="shared" si="11"/>
        <v>0.76428571428571435</v>
      </c>
      <c r="O63">
        <f t="shared" si="12"/>
        <v>5.3500000000000005</v>
      </c>
      <c r="P63">
        <f t="shared" si="13"/>
        <v>2.87</v>
      </c>
      <c r="Q63">
        <f t="shared" si="14"/>
        <v>2.8899999999999997</v>
      </c>
      <c r="R63">
        <f t="shared" si="15"/>
        <v>0.65085158150851585</v>
      </c>
    </row>
    <row r="64" spans="1:18" x14ac:dyDescent="0.3">
      <c r="A64">
        <v>45720</v>
      </c>
      <c r="B64" t="str">
        <f t="shared" si="8"/>
        <v>March</v>
      </c>
      <c r="C64">
        <f t="shared" si="9"/>
        <v>10</v>
      </c>
      <c r="D64" t="s">
        <v>21</v>
      </c>
      <c r="E64">
        <v>4.46</v>
      </c>
      <c r="F64">
        <v>5.28</v>
      </c>
      <c r="G64">
        <v>1.19</v>
      </c>
      <c r="H64">
        <v>3.72</v>
      </c>
      <c r="I64">
        <v>2.2000000000000002</v>
      </c>
      <c r="J64">
        <v>0.84</v>
      </c>
      <c r="K64">
        <v>0.78</v>
      </c>
      <c r="L64">
        <v>7</v>
      </c>
      <c r="M64">
        <f t="shared" si="10"/>
        <v>7</v>
      </c>
      <c r="N64">
        <f t="shared" si="11"/>
        <v>0.91857142857142848</v>
      </c>
      <c r="O64">
        <f t="shared" si="12"/>
        <v>6.43</v>
      </c>
      <c r="P64">
        <f t="shared" si="13"/>
        <v>6.76</v>
      </c>
      <c r="Q64">
        <f t="shared" si="14"/>
        <v>3.0140000000000002</v>
      </c>
      <c r="R64">
        <f t="shared" si="15"/>
        <v>0.48749052312357849</v>
      </c>
    </row>
    <row r="65" spans="1:18" x14ac:dyDescent="0.3">
      <c r="A65">
        <v>45721</v>
      </c>
      <c r="B65" t="str">
        <f t="shared" si="8"/>
        <v>March</v>
      </c>
      <c r="C65">
        <f t="shared" si="9"/>
        <v>10</v>
      </c>
      <c r="D65" t="s">
        <v>15</v>
      </c>
      <c r="E65">
        <v>4.87</v>
      </c>
      <c r="F65">
        <v>6.91</v>
      </c>
      <c r="G65">
        <v>0.64</v>
      </c>
      <c r="H65">
        <v>3.52</v>
      </c>
      <c r="I65">
        <v>0.25</v>
      </c>
      <c r="J65">
        <v>1.69</v>
      </c>
      <c r="K65">
        <v>0.4</v>
      </c>
      <c r="L65">
        <v>9</v>
      </c>
      <c r="M65">
        <f t="shared" si="10"/>
        <v>7</v>
      </c>
      <c r="N65">
        <f t="shared" si="11"/>
        <v>0.84428571428571431</v>
      </c>
      <c r="O65">
        <f t="shared" si="12"/>
        <v>5.91</v>
      </c>
      <c r="P65">
        <f t="shared" si="13"/>
        <v>5.46</v>
      </c>
      <c r="Q65">
        <f t="shared" si="14"/>
        <v>3.7719999999999998</v>
      </c>
      <c r="R65">
        <f t="shared" si="15"/>
        <v>0.51978891820580475</v>
      </c>
    </row>
    <row r="66" spans="1:18" x14ac:dyDescent="0.3">
      <c r="A66">
        <v>45722</v>
      </c>
      <c r="B66" t="str">
        <f t="shared" ref="B66:B97" si="16">TEXT(A66,"MMMM")</f>
        <v>March</v>
      </c>
      <c r="C66">
        <f t="shared" ref="C66:C97" si="17">WEEKNUM(A66,2)</f>
        <v>10</v>
      </c>
      <c r="D66" t="s">
        <v>16</v>
      </c>
      <c r="E66">
        <v>2.17</v>
      </c>
      <c r="F66">
        <v>6.98</v>
      </c>
      <c r="G66">
        <v>0.76</v>
      </c>
      <c r="H66">
        <v>2.62</v>
      </c>
      <c r="I66">
        <v>1.94</v>
      </c>
      <c r="J66">
        <v>0.49</v>
      </c>
      <c r="K66">
        <v>0.03</v>
      </c>
      <c r="L66">
        <v>6</v>
      </c>
      <c r="M66">
        <f t="shared" ref="M66:M97" si="18">IF(D66="Saturday",5,IF(D66="Sunday",5,7))</f>
        <v>7</v>
      </c>
      <c r="N66">
        <f t="shared" ref="N66:N97" si="19">MIN(O66/M66,1)</f>
        <v>0.42285714285714288</v>
      </c>
      <c r="O66">
        <f t="shared" ref="O66:O97" si="20">E66+K66+G66</f>
        <v>2.96</v>
      </c>
      <c r="P66">
        <f t="shared" ref="P66:P97" si="21">H66+I66+J66</f>
        <v>5.0500000000000007</v>
      </c>
      <c r="Q66">
        <f t="shared" ref="Q66:Q97" si="22">MAX(0, MIN(10, (E66*0.4 + F66*0.3 + G66*0.2) - (H66*0.1 + I66*0.1)))</f>
        <v>2.6579999999999999</v>
      </c>
      <c r="R66">
        <f t="shared" ref="R66:R97" si="23">O66/(O66+P66)</f>
        <v>0.36953807740324585</v>
      </c>
    </row>
    <row r="67" spans="1:18" x14ac:dyDescent="0.3">
      <c r="A67">
        <v>45723</v>
      </c>
      <c r="B67" t="str">
        <f t="shared" si="16"/>
        <v>March</v>
      </c>
      <c r="C67">
        <f t="shared" si="17"/>
        <v>10</v>
      </c>
      <c r="D67" t="s">
        <v>17</v>
      </c>
      <c r="E67">
        <v>3.33</v>
      </c>
      <c r="F67">
        <v>5.27</v>
      </c>
      <c r="G67">
        <v>1.82</v>
      </c>
      <c r="H67">
        <v>4.96</v>
      </c>
      <c r="I67">
        <v>0.51</v>
      </c>
      <c r="J67">
        <v>0.27</v>
      </c>
      <c r="K67">
        <v>0.84</v>
      </c>
      <c r="L67">
        <v>8</v>
      </c>
      <c r="M67">
        <f t="shared" si="18"/>
        <v>7</v>
      </c>
      <c r="N67">
        <f t="shared" si="19"/>
        <v>0.85571428571428576</v>
      </c>
      <c r="O67">
        <f t="shared" si="20"/>
        <v>5.99</v>
      </c>
      <c r="P67">
        <f t="shared" si="21"/>
        <v>5.74</v>
      </c>
      <c r="Q67">
        <f t="shared" si="22"/>
        <v>2.7299999999999995</v>
      </c>
      <c r="R67">
        <f t="shared" si="23"/>
        <v>0.51065643648763859</v>
      </c>
    </row>
    <row r="68" spans="1:18" x14ac:dyDescent="0.3">
      <c r="A68">
        <v>45724</v>
      </c>
      <c r="B68" t="str">
        <f t="shared" si="16"/>
        <v>March</v>
      </c>
      <c r="C68">
        <f t="shared" si="17"/>
        <v>10</v>
      </c>
      <c r="D68" t="s">
        <v>18</v>
      </c>
      <c r="E68">
        <v>2.33</v>
      </c>
      <c r="F68">
        <v>5.27</v>
      </c>
      <c r="G68">
        <v>1.26</v>
      </c>
      <c r="H68">
        <v>3.19</v>
      </c>
      <c r="I68">
        <v>2.09</v>
      </c>
      <c r="J68">
        <v>0.23</v>
      </c>
      <c r="K68">
        <v>1.51</v>
      </c>
      <c r="L68">
        <v>5</v>
      </c>
      <c r="M68">
        <f t="shared" si="18"/>
        <v>5</v>
      </c>
      <c r="N68">
        <f t="shared" si="19"/>
        <v>1</v>
      </c>
      <c r="O68">
        <f t="shared" si="20"/>
        <v>5.0999999999999996</v>
      </c>
      <c r="P68">
        <f t="shared" si="21"/>
        <v>5.51</v>
      </c>
      <c r="Q68">
        <f t="shared" si="22"/>
        <v>2.2369999999999997</v>
      </c>
      <c r="R68">
        <f t="shared" si="23"/>
        <v>0.48067860508953819</v>
      </c>
    </row>
    <row r="69" spans="1:18" x14ac:dyDescent="0.3">
      <c r="A69">
        <v>45725</v>
      </c>
      <c r="B69" t="str">
        <f t="shared" si="16"/>
        <v>March</v>
      </c>
      <c r="C69">
        <f t="shared" si="17"/>
        <v>10</v>
      </c>
      <c r="D69" t="s">
        <v>19</v>
      </c>
      <c r="E69">
        <v>1.21</v>
      </c>
      <c r="F69">
        <v>7.6</v>
      </c>
      <c r="G69">
        <v>0.34</v>
      </c>
      <c r="H69">
        <v>3.01</v>
      </c>
      <c r="I69">
        <v>2.36</v>
      </c>
      <c r="J69">
        <v>0.91</v>
      </c>
      <c r="K69">
        <v>1.94</v>
      </c>
      <c r="L69">
        <v>9</v>
      </c>
      <c r="M69">
        <f t="shared" si="18"/>
        <v>5</v>
      </c>
      <c r="N69">
        <f t="shared" si="19"/>
        <v>0.69799999999999995</v>
      </c>
      <c r="O69">
        <f t="shared" si="20"/>
        <v>3.4899999999999998</v>
      </c>
      <c r="P69">
        <f t="shared" si="21"/>
        <v>6.2799999999999994</v>
      </c>
      <c r="Q69">
        <f t="shared" si="22"/>
        <v>2.2949999999999999</v>
      </c>
      <c r="R69">
        <f t="shared" si="23"/>
        <v>0.35721596724667348</v>
      </c>
    </row>
    <row r="70" spans="1:18" x14ac:dyDescent="0.3">
      <c r="A70">
        <v>45726</v>
      </c>
      <c r="B70" t="str">
        <f t="shared" si="16"/>
        <v>March</v>
      </c>
      <c r="C70">
        <f t="shared" si="17"/>
        <v>11</v>
      </c>
      <c r="D70" t="s">
        <v>20</v>
      </c>
      <c r="E70">
        <v>2.75</v>
      </c>
      <c r="F70">
        <v>6.39</v>
      </c>
      <c r="G70">
        <v>0.15</v>
      </c>
      <c r="H70">
        <v>4.33</v>
      </c>
      <c r="I70">
        <v>0.32</v>
      </c>
      <c r="J70">
        <v>1.24</v>
      </c>
      <c r="K70">
        <v>0.03</v>
      </c>
      <c r="L70">
        <v>8</v>
      </c>
      <c r="M70">
        <f t="shared" si="18"/>
        <v>7</v>
      </c>
      <c r="N70">
        <f t="shared" si="19"/>
        <v>0.41857142857142854</v>
      </c>
      <c r="O70">
        <f t="shared" si="20"/>
        <v>2.9299999999999997</v>
      </c>
      <c r="P70">
        <f t="shared" si="21"/>
        <v>5.8900000000000006</v>
      </c>
      <c r="Q70">
        <f t="shared" si="22"/>
        <v>2.5819999999999999</v>
      </c>
      <c r="R70">
        <f t="shared" si="23"/>
        <v>0.33219954648526073</v>
      </c>
    </row>
    <row r="71" spans="1:18" x14ac:dyDescent="0.3">
      <c r="A71">
        <v>45727</v>
      </c>
      <c r="B71" t="str">
        <f t="shared" si="16"/>
        <v>March</v>
      </c>
      <c r="C71">
        <f t="shared" si="17"/>
        <v>11</v>
      </c>
      <c r="D71" t="s">
        <v>21</v>
      </c>
      <c r="E71">
        <v>2.2799999999999998</v>
      </c>
      <c r="F71">
        <v>8.76</v>
      </c>
      <c r="G71">
        <v>0.56999999999999995</v>
      </c>
      <c r="H71">
        <v>1.67</v>
      </c>
      <c r="I71">
        <v>1.62</v>
      </c>
      <c r="J71">
        <v>1.21</v>
      </c>
      <c r="K71">
        <v>0.31</v>
      </c>
      <c r="L71">
        <v>5</v>
      </c>
      <c r="M71">
        <f t="shared" si="18"/>
        <v>7</v>
      </c>
      <c r="N71">
        <f t="shared" si="19"/>
        <v>0.4514285714285714</v>
      </c>
      <c r="O71">
        <f t="shared" si="20"/>
        <v>3.1599999999999997</v>
      </c>
      <c r="P71">
        <f t="shared" si="21"/>
        <v>4.5</v>
      </c>
      <c r="Q71">
        <f t="shared" si="22"/>
        <v>3.3249999999999993</v>
      </c>
      <c r="R71">
        <f t="shared" si="23"/>
        <v>0.41253263707571797</v>
      </c>
    </row>
    <row r="72" spans="1:18" x14ac:dyDescent="0.3">
      <c r="A72">
        <v>45728</v>
      </c>
      <c r="B72" t="str">
        <f t="shared" si="16"/>
        <v>March</v>
      </c>
      <c r="C72">
        <f t="shared" si="17"/>
        <v>11</v>
      </c>
      <c r="D72" t="s">
        <v>15</v>
      </c>
      <c r="E72">
        <v>3.79</v>
      </c>
      <c r="F72">
        <v>5.58</v>
      </c>
      <c r="G72">
        <v>0.88</v>
      </c>
      <c r="H72">
        <v>4.2699999999999996</v>
      </c>
      <c r="I72">
        <v>1.01</v>
      </c>
      <c r="J72">
        <v>0.08</v>
      </c>
      <c r="K72">
        <v>0.64</v>
      </c>
      <c r="L72">
        <v>10</v>
      </c>
      <c r="M72">
        <f t="shared" si="18"/>
        <v>7</v>
      </c>
      <c r="N72">
        <f t="shared" si="19"/>
        <v>0.75857142857142856</v>
      </c>
      <c r="O72">
        <f t="shared" si="20"/>
        <v>5.31</v>
      </c>
      <c r="P72">
        <f t="shared" si="21"/>
        <v>5.3599999999999994</v>
      </c>
      <c r="Q72">
        <f t="shared" si="22"/>
        <v>2.8380000000000001</v>
      </c>
      <c r="R72">
        <f t="shared" si="23"/>
        <v>0.4976569821930647</v>
      </c>
    </row>
    <row r="73" spans="1:18" x14ac:dyDescent="0.3">
      <c r="A73">
        <v>45729</v>
      </c>
      <c r="B73" t="str">
        <f t="shared" si="16"/>
        <v>March</v>
      </c>
      <c r="C73">
        <f t="shared" si="17"/>
        <v>11</v>
      </c>
      <c r="D73" t="s">
        <v>16</v>
      </c>
      <c r="E73">
        <v>2.31</v>
      </c>
      <c r="F73">
        <v>5.64</v>
      </c>
      <c r="G73">
        <v>2</v>
      </c>
      <c r="H73">
        <v>2.36</v>
      </c>
      <c r="I73">
        <v>1.36</v>
      </c>
      <c r="J73">
        <v>1.1399999999999999</v>
      </c>
      <c r="K73">
        <v>0.59</v>
      </c>
      <c r="L73">
        <v>8</v>
      </c>
      <c r="M73">
        <f t="shared" si="18"/>
        <v>7</v>
      </c>
      <c r="N73">
        <f t="shared" si="19"/>
        <v>0.70000000000000007</v>
      </c>
      <c r="O73">
        <f t="shared" si="20"/>
        <v>4.9000000000000004</v>
      </c>
      <c r="P73">
        <f t="shared" si="21"/>
        <v>4.8599999999999994</v>
      </c>
      <c r="Q73">
        <f t="shared" si="22"/>
        <v>2.6440000000000001</v>
      </c>
      <c r="R73">
        <f t="shared" si="23"/>
        <v>0.50204918032786894</v>
      </c>
    </row>
    <row r="74" spans="1:18" x14ac:dyDescent="0.3">
      <c r="A74">
        <v>45730</v>
      </c>
      <c r="B74" t="str">
        <f t="shared" si="16"/>
        <v>March</v>
      </c>
      <c r="C74">
        <f t="shared" si="17"/>
        <v>11</v>
      </c>
      <c r="D74" t="s">
        <v>17</v>
      </c>
      <c r="E74">
        <v>4.58</v>
      </c>
      <c r="F74">
        <v>6.8</v>
      </c>
      <c r="G74">
        <v>1.9</v>
      </c>
      <c r="H74">
        <v>4.76</v>
      </c>
      <c r="I74">
        <v>1.57</v>
      </c>
      <c r="J74">
        <v>0.13</v>
      </c>
      <c r="K74">
        <v>1.26</v>
      </c>
      <c r="L74">
        <v>10</v>
      </c>
      <c r="M74">
        <f t="shared" si="18"/>
        <v>7</v>
      </c>
      <c r="N74">
        <f t="shared" si="19"/>
        <v>1</v>
      </c>
      <c r="O74">
        <f t="shared" si="20"/>
        <v>7.74</v>
      </c>
      <c r="P74">
        <f t="shared" si="21"/>
        <v>6.46</v>
      </c>
      <c r="Q74">
        <f t="shared" si="22"/>
        <v>3.6189999999999998</v>
      </c>
      <c r="R74">
        <f t="shared" si="23"/>
        <v>0.54507042253521132</v>
      </c>
    </row>
    <row r="75" spans="1:18" x14ac:dyDescent="0.3">
      <c r="A75">
        <v>45731</v>
      </c>
      <c r="B75" t="str">
        <f t="shared" si="16"/>
        <v>March</v>
      </c>
      <c r="C75">
        <f t="shared" si="17"/>
        <v>11</v>
      </c>
      <c r="D75" t="s">
        <v>18</v>
      </c>
      <c r="E75">
        <v>1.64</v>
      </c>
      <c r="F75">
        <v>5.32</v>
      </c>
      <c r="G75">
        <v>0.03</v>
      </c>
      <c r="H75">
        <v>3.44</v>
      </c>
      <c r="I75">
        <v>2.77</v>
      </c>
      <c r="J75">
        <v>0.6</v>
      </c>
      <c r="K75">
        <v>1.49</v>
      </c>
      <c r="L75">
        <v>7</v>
      </c>
      <c r="M75">
        <f t="shared" si="18"/>
        <v>5</v>
      </c>
      <c r="N75">
        <f t="shared" si="19"/>
        <v>0.6319999999999999</v>
      </c>
      <c r="O75">
        <f t="shared" si="20"/>
        <v>3.1599999999999997</v>
      </c>
      <c r="P75">
        <f t="shared" si="21"/>
        <v>6.81</v>
      </c>
      <c r="Q75">
        <f t="shared" si="22"/>
        <v>1.637</v>
      </c>
      <c r="R75">
        <f t="shared" si="23"/>
        <v>0.31695085255767302</v>
      </c>
    </row>
    <row r="76" spans="1:18" x14ac:dyDescent="0.3">
      <c r="A76">
        <v>45732</v>
      </c>
      <c r="B76" t="str">
        <f t="shared" si="16"/>
        <v>March</v>
      </c>
      <c r="C76">
        <f t="shared" si="17"/>
        <v>11</v>
      </c>
      <c r="D76" t="s">
        <v>19</v>
      </c>
      <c r="E76">
        <v>1.55</v>
      </c>
      <c r="F76">
        <v>6.02</v>
      </c>
      <c r="G76">
        <v>1.94</v>
      </c>
      <c r="H76">
        <v>2.4</v>
      </c>
      <c r="I76">
        <v>2.5</v>
      </c>
      <c r="J76">
        <v>0.4</v>
      </c>
      <c r="K76">
        <v>0.45</v>
      </c>
      <c r="L76">
        <v>1</v>
      </c>
      <c r="M76">
        <f t="shared" si="18"/>
        <v>5</v>
      </c>
      <c r="N76">
        <f t="shared" si="19"/>
        <v>0.78800000000000003</v>
      </c>
      <c r="O76">
        <f t="shared" si="20"/>
        <v>3.94</v>
      </c>
      <c r="P76">
        <f t="shared" si="21"/>
        <v>5.3000000000000007</v>
      </c>
      <c r="Q76">
        <f t="shared" si="22"/>
        <v>2.3239999999999998</v>
      </c>
      <c r="R76">
        <f t="shared" si="23"/>
        <v>0.4264069264069264</v>
      </c>
    </row>
    <row r="77" spans="1:18" x14ac:dyDescent="0.3">
      <c r="A77">
        <v>45733</v>
      </c>
      <c r="B77" t="str">
        <f t="shared" si="16"/>
        <v>March</v>
      </c>
      <c r="C77">
        <f t="shared" si="17"/>
        <v>12</v>
      </c>
      <c r="D77" t="s">
        <v>20</v>
      </c>
      <c r="E77">
        <v>3.01</v>
      </c>
      <c r="F77">
        <v>6.94</v>
      </c>
      <c r="G77">
        <v>1.64</v>
      </c>
      <c r="H77">
        <v>3.58</v>
      </c>
      <c r="I77">
        <v>2.0099999999999998</v>
      </c>
      <c r="J77">
        <v>0.09</v>
      </c>
      <c r="K77">
        <v>0.26</v>
      </c>
      <c r="L77">
        <v>2</v>
      </c>
      <c r="M77">
        <f t="shared" si="18"/>
        <v>7</v>
      </c>
      <c r="N77">
        <f t="shared" si="19"/>
        <v>0.70142857142857129</v>
      </c>
      <c r="O77">
        <f t="shared" si="20"/>
        <v>4.9099999999999993</v>
      </c>
      <c r="P77">
        <f t="shared" si="21"/>
        <v>5.68</v>
      </c>
      <c r="Q77">
        <f t="shared" si="22"/>
        <v>3.0549999999999993</v>
      </c>
      <c r="R77">
        <f t="shared" si="23"/>
        <v>0.46364494806421147</v>
      </c>
    </row>
    <row r="78" spans="1:18" x14ac:dyDescent="0.3">
      <c r="A78">
        <v>45734</v>
      </c>
      <c r="B78" t="str">
        <f t="shared" si="16"/>
        <v>March</v>
      </c>
      <c r="C78">
        <f t="shared" si="17"/>
        <v>12</v>
      </c>
      <c r="D78" t="s">
        <v>21</v>
      </c>
      <c r="E78">
        <v>3.09</v>
      </c>
      <c r="F78">
        <v>6.21</v>
      </c>
      <c r="G78">
        <v>0.7</v>
      </c>
      <c r="H78">
        <v>3.04</v>
      </c>
      <c r="I78">
        <v>1.35</v>
      </c>
      <c r="J78">
        <v>1.53</v>
      </c>
      <c r="K78">
        <v>1.04</v>
      </c>
      <c r="L78">
        <v>1</v>
      </c>
      <c r="M78">
        <f t="shared" si="18"/>
        <v>7</v>
      </c>
      <c r="N78">
        <f t="shared" si="19"/>
        <v>0.69000000000000006</v>
      </c>
      <c r="O78">
        <f t="shared" si="20"/>
        <v>4.83</v>
      </c>
      <c r="P78">
        <f t="shared" si="21"/>
        <v>5.9200000000000008</v>
      </c>
      <c r="Q78">
        <f t="shared" si="22"/>
        <v>2.8000000000000003</v>
      </c>
      <c r="R78">
        <f t="shared" si="23"/>
        <v>0.44930232558139538</v>
      </c>
    </row>
    <row r="79" spans="1:18" x14ac:dyDescent="0.3">
      <c r="A79">
        <v>45735</v>
      </c>
      <c r="B79" t="str">
        <f t="shared" si="16"/>
        <v>March</v>
      </c>
      <c r="C79">
        <f t="shared" si="17"/>
        <v>12</v>
      </c>
      <c r="D79" t="s">
        <v>15</v>
      </c>
      <c r="E79">
        <v>4.03</v>
      </c>
      <c r="F79">
        <v>6.81</v>
      </c>
      <c r="G79">
        <v>1.26</v>
      </c>
      <c r="H79">
        <v>1.68</v>
      </c>
      <c r="I79">
        <v>2.98</v>
      </c>
      <c r="J79">
        <v>1.26</v>
      </c>
      <c r="K79">
        <v>1.35</v>
      </c>
      <c r="L79">
        <v>8</v>
      </c>
      <c r="M79">
        <f t="shared" si="18"/>
        <v>7</v>
      </c>
      <c r="N79">
        <f t="shared" si="19"/>
        <v>0.94857142857142862</v>
      </c>
      <c r="O79">
        <f t="shared" si="20"/>
        <v>6.6400000000000006</v>
      </c>
      <c r="P79">
        <f t="shared" si="21"/>
        <v>5.92</v>
      </c>
      <c r="Q79">
        <f t="shared" si="22"/>
        <v>3.4409999999999998</v>
      </c>
      <c r="R79">
        <f t="shared" si="23"/>
        <v>0.5286624203821656</v>
      </c>
    </row>
    <row r="80" spans="1:18" x14ac:dyDescent="0.3">
      <c r="A80">
        <v>45736</v>
      </c>
      <c r="B80" t="str">
        <f t="shared" si="16"/>
        <v>March</v>
      </c>
      <c r="C80">
        <f t="shared" si="17"/>
        <v>12</v>
      </c>
      <c r="D80" t="s">
        <v>16</v>
      </c>
      <c r="E80">
        <v>3.84</v>
      </c>
      <c r="F80">
        <v>6.76</v>
      </c>
      <c r="G80">
        <v>0.72</v>
      </c>
      <c r="H80">
        <v>4.71</v>
      </c>
      <c r="I80">
        <v>1.41</v>
      </c>
      <c r="J80">
        <v>0.56000000000000005</v>
      </c>
      <c r="K80">
        <v>0.65</v>
      </c>
      <c r="L80">
        <v>2</v>
      </c>
      <c r="M80">
        <f t="shared" si="18"/>
        <v>7</v>
      </c>
      <c r="N80">
        <f t="shared" si="19"/>
        <v>0.74428571428571433</v>
      </c>
      <c r="O80">
        <f t="shared" si="20"/>
        <v>5.21</v>
      </c>
      <c r="P80">
        <f t="shared" si="21"/>
        <v>6.68</v>
      </c>
      <c r="Q80">
        <f t="shared" si="22"/>
        <v>3.0960000000000001</v>
      </c>
      <c r="R80">
        <f t="shared" si="23"/>
        <v>0.43818334735071485</v>
      </c>
    </row>
    <row r="81" spans="1:18" x14ac:dyDescent="0.3">
      <c r="A81">
        <v>45737</v>
      </c>
      <c r="B81" t="str">
        <f t="shared" si="16"/>
        <v>March</v>
      </c>
      <c r="C81">
        <f t="shared" si="17"/>
        <v>12</v>
      </c>
      <c r="D81" t="s">
        <v>17</v>
      </c>
      <c r="E81">
        <v>1.07</v>
      </c>
      <c r="F81">
        <v>7.93</v>
      </c>
      <c r="G81">
        <v>0.12</v>
      </c>
      <c r="H81">
        <v>3.63</v>
      </c>
      <c r="I81">
        <v>1.44</v>
      </c>
      <c r="J81">
        <v>0.8</v>
      </c>
      <c r="K81">
        <v>1.2</v>
      </c>
      <c r="L81">
        <v>10</v>
      </c>
      <c r="M81">
        <f t="shared" si="18"/>
        <v>7</v>
      </c>
      <c r="N81">
        <f t="shared" si="19"/>
        <v>0.34142857142857147</v>
      </c>
      <c r="O81">
        <f t="shared" si="20"/>
        <v>2.39</v>
      </c>
      <c r="P81">
        <f t="shared" si="21"/>
        <v>5.87</v>
      </c>
      <c r="Q81">
        <f t="shared" si="22"/>
        <v>2.3239999999999998</v>
      </c>
      <c r="R81">
        <f t="shared" si="23"/>
        <v>0.28934624697336564</v>
      </c>
    </row>
    <row r="82" spans="1:18" x14ac:dyDescent="0.3">
      <c r="A82">
        <v>45738</v>
      </c>
      <c r="B82" t="str">
        <f t="shared" si="16"/>
        <v>March</v>
      </c>
      <c r="C82">
        <f t="shared" si="17"/>
        <v>12</v>
      </c>
      <c r="D82" t="s">
        <v>18</v>
      </c>
      <c r="E82">
        <v>3.6</v>
      </c>
      <c r="F82">
        <v>7.87</v>
      </c>
      <c r="G82">
        <v>0.88</v>
      </c>
      <c r="H82">
        <v>1.33</v>
      </c>
      <c r="I82">
        <v>2.73</v>
      </c>
      <c r="J82">
        <v>1.04</v>
      </c>
      <c r="K82">
        <v>0.18</v>
      </c>
      <c r="L82">
        <v>4</v>
      </c>
      <c r="M82">
        <f t="shared" si="18"/>
        <v>5</v>
      </c>
      <c r="N82">
        <f t="shared" si="19"/>
        <v>0.93200000000000005</v>
      </c>
      <c r="O82">
        <f t="shared" si="20"/>
        <v>4.66</v>
      </c>
      <c r="P82">
        <f t="shared" si="21"/>
        <v>5.1000000000000005</v>
      </c>
      <c r="Q82">
        <f t="shared" si="22"/>
        <v>3.5710000000000002</v>
      </c>
      <c r="R82">
        <f t="shared" si="23"/>
        <v>0.47745901639344257</v>
      </c>
    </row>
    <row r="83" spans="1:18" x14ac:dyDescent="0.3">
      <c r="A83">
        <v>45739</v>
      </c>
      <c r="B83" t="str">
        <f t="shared" si="16"/>
        <v>March</v>
      </c>
      <c r="C83">
        <f t="shared" si="17"/>
        <v>12</v>
      </c>
      <c r="D83" t="s">
        <v>19</v>
      </c>
      <c r="E83">
        <v>3.59</v>
      </c>
      <c r="F83">
        <v>5.49</v>
      </c>
      <c r="G83">
        <v>0.13</v>
      </c>
      <c r="H83">
        <v>2.06</v>
      </c>
      <c r="I83">
        <v>1.27</v>
      </c>
      <c r="J83">
        <v>1.78</v>
      </c>
      <c r="K83">
        <v>0.7</v>
      </c>
      <c r="L83">
        <v>9</v>
      </c>
      <c r="M83">
        <f t="shared" si="18"/>
        <v>5</v>
      </c>
      <c r="N83">
        <f t="shared" si="19"/>
        <v>0.88400000000000001</v>
      </c>
      <c r="O83">
        <f t="shared" si="20"/>
        <v>4.42</v>
      </c>
      <c r="P83">
        <f t="shared" si="21"/>
        <v>5.1100000000000003</v>
      </c>
      <c r="Q83">
        <f t="shared" si="22"/>
        <v>2.7759999999999998</v>
      </c>
      <c r="R83">
        <f t="shared" si="23"/>
        <v>0.46379853095487927</v>
      </c>
    </row>
    <row r="84" spans="1:18" x14ac:dyDescent="0.3">
      <c r="A84">
        <v>45740</v>
      </c>
      <c r="B84" t="str">
        <f t="shared" si="16"/>
        <v>March</v>
      </c>
      <c r="C84">
        <f t="shared" si="17"/>
        <v>13</v>
      </c>
      <c r="D84" t="s">
        <v>20</v>
      </c>
      <c r="E84">
        <v>2.42</v>
      </c>
      <c r="F84">
        <v>6.35</v>
      </c>
      <c r="G84">
        <v>0.2</v>
      </c>
      <c r="H84">
        <v>2.3199999999999998</v>
      </c>
      <c r="I84">
        <v>2.39</v>
      </c>
      <c r="J84">
        <v>0.35</v>
      </c>
      <c r="K84">
        <v>0.92</v>
      </c>
      <c r="L84">
        <v>7</v>
      </c>
      <c r="M84">
        <f t="shared" si="18"/>
        <v>7</v>
      </c>
      <c r="N84">
        <f t="shared" si="19"/>
        <v>0.50571428571428567</v>
      </c>
      <c r="O84">
        <f t="shared" si="20"/>
        <v>3.54</v>
      </c>
      <c r="P84">
        <f t="shared" si="21"/>
        <v>5.0599999999999996</v>
      </c>
      <c r="Q84">
        <f t="shared" si="22"/>
        <v>2.4419999999999997</v>
      </c>
      <c r="R84">
        <f t="shared" si="23"/>
        <v>0.41162790697674423</v>
      </c>
    </row>
    <row r="85" spans="1:18" x14ac:dyDescent="0.3">
      <c r="A85">
        <v>45741</v>
      </c>
      <c r="B85" t="str">
        <f t="shared" si="16"/>
        <v>March</v>
      </c>
      <c r="C85">
        <f t="shared" si="17"/>
        <v>13</v>
      </c>
      <c r="D85" t="s">
        <v>21</v>
      </c>
      <c r="E85">
        <v>5.45</v>
      </c>
      <c r="F85">
        <v>5.75</v>
      </c>
      <c r="G85">
        <v>1.25</v>
      </c>
      <c r="H85">
        <v>1.03</v>
      </c>
      <c r="I85">
        <v>0.59</v>
      </c>
      <c r="J85">
        <v>1.37</v>
      </c>
      <c r="K85">
        <v>1.49</v>
      </c>
      <c r="L85">
        <v>5</v>
      </c>
      <c r="M85">
        <f t="shared" si="18"/>
        <v>7</v>
      </c>
      <c r="N85">
        <f t="shared" si="19"/>
        <v>1</v>
      </c>
      <c r="O85">
        <f t="shared" si="20"/>
        <v>8.1900000000000013</v>
      </c>
      <c r="P85">
        <f t="shared" si="21"/>
        <v>2.99</v>
      </c>
      <c r="Q85">
        <f t="shared" si="22"/>
        <v>3.9930000000000003</v>
      </c>
      <c r="R85">
        <f t="shared" si="23"/>
        <v>0.73255813953488369</v>
      </c>
    </row>
    <row r="86" spans="1:18" x14ac:dyDescent="0.3">
      <c r="A86">
        <v>45742</v>
      </c>
      <c r="B86" t="str">
        <f t="shared" si="16"/>
        <v>March</v>
      </c>
      <c r="C86">
        <f t="shared" si="17"/>
        <v>13</v>
      </c>
      <c r="D86" t="s">
        <v>15</v>
      </c>
      <c r="E86">
        <v>3.13</v>
      </c>
      <c r="F86">
        <v>7.67</v>
      </c>
      <c r="G86">
        <v>1.55</v>
      </c>
      <c r="H86">
        <v>1.88</v>
      </c>
      <c r="I86">
        <v>2.2799999999999998</v>
      </c>
      <c r="J86">
        <v>1.5</v>
      </c>
      <c r="K86">
        <v>0.16</v>
      </c>
      <c r="L86">
        <v>9</v>
      </c>
      <c r="M86">
        <f t="shared" si="18"/>
        <v>7</v>
      </c>
      <c r="N86">
        <f t="shared" si="19"/>
        <v>0.69142857142857139</v>
      </c>
      <c r="O86">
        <f t="shared" si="20"/>
        <v>4.84</v>
      </c>
      <c r="P86">
        <f t="shared" si="21"/>
        <v>5.66</v>
      </c>
      <c r="Q86">
        <f t="shared" si="22"/>
        <v>3.4470000000000001</v>
      </c>
      <c r="R86">
        <f t="shared" si="23"/>
        <v>0.46095238095238095</v>
      </c>
    </row>
    <row r="87" spans="1:18" x14ac:dyDescent="0.3">
      <c r="A87">
        <v>45743</v>
      </c>
      <c r="B87" t="str">
        <f t="shared" si="16"/>
        <v>March</v>
      </c>
      <c r="C87">
        <f t="shared" si="17"/>
        <v>13</v>
      </c>
      <c r="D87" t="s">
        <v>16</v>
      </c>
      <c r="E87">
        <v>3.68</v>
      </c>
      <c r="F87">
        <v>6.5</v>
      </c>
      <c r="G87">
        <v>1.65</v>
      </c>
      <c r="H87">
        <v>2.74</v>
      </c>
      <c r="I87">
        <v>0.4</v>
      </c>
      <c r="J87">
        <v>1.08</v>
      </c>
      <c r="K87">
        <v>1.01</v>
      </c>
      <c r="L87">
        <v>10</v>
      </c>
      <c r="M87">
        <f t="shared" si="18"/>
        <v>7</v>
      </c>
      <c r="N87">
        <f t="shared" si="19"/>
        <v>0.90571428571428569</v>
      </c>
      <c r="O87">
        <f t="shared" si="20"/>
        <v>6.34</v>
      </c>
      <c r="P87">
        <f t="shared" si="21"/>
        <v>4.2200000000000006</v>
      </c>
      <c r="Q87">
        <f t="shared" si="22"/>
        <v>3.4380000000000002</v>
      </c>
      <c r="R87">
        <f t="shared" si="23"/>
        <v>0.60037878787878785</v>
      </c>
    </row>
    <row r="88" spans="1:18" x14ac:dyDescent="0.3">
      <c r="A88">
        <v>45744</v>
      </c>
      <c r="B88" t="str">
        <f t="shared" si="16"/>
        <v>March</v>
      </c>
      <c r="C88">
        <f t="shared" si="17"/>
        <v>13</v>
      </c>
      <c r="D88" t="s">
        <v>17</v>
      </c>
      <c r="E88">
        <v>4.88</v>
      </c>
      <c r="F88">
        <v>8.24</v>
      </c>
      <c r="G88">
        <v>1.1599999999999999</v>
      </c>
      <c r="H88">
        <v>2.1800000000000002</v>
      </c>
      <c r="I88">
        <v>2.44</v>
      </c>
      <c r="J88">
        <v>0.69</v>
      </c>
      <c r="K88">
        <v>0.47</v>
      </c>
      <c r="L88">
        <v>10</v>
      </c>
      <c r="M88">
        <f t="shared" si="18"/>
        <v>7</v>
      </c>
      <c r="N88">
        <f t="shared" si="19"/>
        <v>0.92999999999999994</v>
      </c>
      <c r="O88">
        <f t="shared" si="20"/>
        <v>6.51</v>
      </c>
      <c r="P88">
        <f t="shared" si="21"/>
        <v>5.3100000000000005</v>
      </c>
      <c r="Q88">
        <f t="shared" si="22"/>
        <v>4.194</v>
      </c>
      <c r="R88">
        <f t="shared" si="23"/>
        <v>0.55076142131979688</v>
      </c>
    </row>
    <row r="89" spans="1:18" x14ac:dyDescent="0.3">
      <c r="A89">
        <v>45745</v>
      </c>
      <c r="B89" t="str">
        <f t="shared" si="16"/>
        <v>March</v>
      </c>
      <c r="C89">
        <f t="shared" si="17"/>
        <v>13</v>
      </c>
      <c r="D89" t="s">
        <v>18</v>
      </c>
      <c r="E89">
        <v>1.1200000000000001</v>
      </c>
      <c r="F89">
        <v>8.91</v>
      </c>
      <c r="G89">
        <v>1.38</v>
      </c>
      <c r="H89">
        <v>4.91</v>
      </c>
      <c r="I89">
        <v>0.18</v>
      </c>
      <c r="J89">
        <v>0.99</v>
      </c>
      <c r="K89">
        <v>0.82</v>
      </c>
      <c r="L89">
        <v>2</v>
      </c>
      <c r="M89">
        <f t="shared" si="18"/>
        <v>5</v>
      </c>
      <c r="N89">
        <f t="shared" si="19"/>
        <v>0.66399999999999992</v>
      </c>
      <c r="O89">
        <f t="shared" si="20"/>
        <v>3.32</v>
      </c>
      <c r="P89">
        <f t="shared" si="21"/>
        <v>6.08</v>
      </c>
      <c r="Q89">
        <f t="shared" si="22"/>
        <v>2.8879999999999999</v>
      </c>
      <c r="R89">
        <f t="shared" si="23"/>
        <v>0.35319148936170208</v>
      </c>
    </row>
    <row r="90" spans="1:18" x14ac:dyDescent="0.3">
      <c r="A90">
        <v>45746</v>
      </c>
      <c r="B90" t="str">
        <f t="shared" si="16"/>
        <v>March</v>
      </c>
      <c r="C90">
        <f t="shared" si="17"/>
        <v>13</v>
      </c>
      <c r="D90" t="s">
        <v>19</v>
      </c>
      <c r="E90">
        <v>5.84</v>
      </c>
      <c r="F90">
        <v>5.37</v>
      </c>
      <c r="G90">
        <v>0.5</v>
      </c>
      <c r="H90">
        <v>4.84</v>
      </c>
      <c r="I90">
        <v>1.51</v>
      </c>
      <c r="J90">
        <v>0.85</v>
      </c>
      <c r="K90">
        <v>0.27</v>
      </c>
      <c r="L90">
        <v>8</v>
      </c>
      <c r="M90">
        <f t="shared" si="18"/>
        <v>5</v>
      </c>
      <c r="N90">
        <f t="shared" si="19"/>
        <v>1</v>
      </c>
      <c r="O90">
        <f t="shared" si="20"/>
        <v>6.6099999999999994</v>
      </c>
      <c r="P90">
        <f t="shared" si="21"/>
        <v>7.1999999999999993</v>
      </c>
      <c r="Q90">
        <f t="shared" si="22"/>
        <v>3.4119999999999999</v>
      </c>
      <c r="R90">
        <f t="shared" si="23"/>
        <v>0.47863866763215063</v>
      </c>
    </row>
    <row r="91" spans="1:18" x14ac:dyDescent="0.3">
      <c r="A91">
        <v>45747</v>
      </c>
      <c r="B91" t="str">
        <f t="shared" si="16"/>
        <v>March</v>
      </c>
      <c r="C91">
        <f t="shared" si="17"/>
        <v>14</v>
      </c>
      <c r="D91" t="s">
        <v>20</v>
      </c>
      <c r="E91">
        <v>2.4900000000000002</v>
      </c>
      <c r="F91">
        <v>7.19</v>
      </c>
      <c r="G91">
        <v>1.21</v>
      </c>
      <c r="H91">
        <v>2.12</v>
      </c>
      <c r="I91">
        <v>0.91</v>
      </c>
      <c r="J91">
        <v>0.5</v>
      </c>
      <c r="K91">
        <v>0.88</v>
      </c>
      <c r="L91">
        <v>7</v>
      </c>
      <c r="M91">
        <f t="shared" si="18"/>
        <v>7</v>
      </c>
      <c r="N91">
        <f t="shared" si="19"/>
        <v>0.65428571428571425</v>
      </c>
      <c r="O91">
        <f t="shared" si="20"/>
        <v>4.58</v>
      </c>
      <c r="P91">
        <f t="shared" si="21"/>
        <v>3.5300000000000002</v>
      </c>
      <c r="Q91">
        <f t="shared" si="22"/>
        <v>3.0920000000000001</v>
      </c>
      <c r="R91">
        <f t="shared" si="23"/>
        <v>0.56473489519112208</v>
      </c>
    </row>
    <row r="92" spans="1:18" x14ac:dyDescent="0.3">
      <c r="A92">
        <v>45748</v>
      </c>
      <c r="B92" t="str">
        <f t="shared" si="16"/>
        <v>April</v>
      </c>
      <c r="C92">
        <f t="shared" si="17"/>
        <v>14</v>
      </c>
      <c r="D92" t="s">
        <v>21</v>
      </c>
      <c r="E92">
        <v>1.97</v>
      </c>
      <c r="F92">
        <v>7.42</v>
      </c>
      <c r="G92">
        <v>1.27</v>
      </c>
      <c r="H92">
        <v>1.43</v>
      </c>
      <c r="I92">
        <v>1.84</v>
      </c>
      <c r="J92">
        <v>0.19</v>
      </c>
      <c r="K92">
        <v>0.15</v>
      </c>
      <c r="L92">
        <v>10</v>
      </c>
      <c r="M92">
        <f t="shared" si="18"/>
        <v>7</v>
      </c>
      <c r="N92">
        <f t="shared" si="19"/>
        <v>0.48428571428571432</v>
      </c>
      <c r="O92">
        <f t="shared" si="20"/>
        <v>3.39</v>
      </c>
      <c r="P92">
        <f t="shared" si="21"/>
        <v>3.46</v>
      </c>
      <c r="Q92">
        <f t="shared" si="22"/>
        <v>2.9410000000000003</v>
      </c>
      <c r="R92">
        <f t="shared" si="23"/>
        <v>0.49489051094890513</v>
      </c>
    </row>
    <row r="93" spans="1:18" x14ac:dyDescent="0.3">
      <c r="A93">
        <v>45749</v>
      </c>
      <c r="B93" t="str">
        <f t="shared" si="16"/>
        <v>April</v>
      </c>
      <c r="C93">
        <f t="shared" si="17"/>
        <v>14</v>
      </c>
      <c r="D93" t="s">
        <v>15</v>
      </c>
      <c r="E93">
        <v>2.92</v>
      </c>
      <c r="F93">
        <v>7.3</v>
      </c>
      <c r="G93">
        <v>1.6</v>
      </c>
      <c r="H93">
        <v>1.1100000000000001</v>
      </c>
      <c r="I93">
        <v>2.96</v>
      </c>
      <c r="J93">
        <v>0.34</v>
      </c>
      <c r="K93">
        <v>1.84</v>
      </c>
      <c r="L93">
        <v>3</v>
      </c>
      <c r="M93">
        <f t="shared" si="18"/>
        <v>7</v>
      </c>
      <c r="N93">
        <f t="shared" si="19"/>
        <v>0.90857142857142847</v>
      </c>
      <c r="O93">
        <f t="shared" si="20"/>
        <v>6.3599999999999994</v>
      </c>
      <c r="P93">
        <f t="shared" si="21"/>
        <v>4.41</v>
      </c>
      <c r="Q93">
        <f t="shared" si="22"/>
        <v>3.2709999999999999</v>
      </c>
      <c r="R93">
        <f t="shared" si="23"/>
        <v>0.59052924791086348</v>
      </c>
    </row>
    <row r="94" spans="1:18" x14ac:dyDescent="0.3">
      <c r="A94">
        <v>45750</v>
      </c>
      <c r="B94" t="str">
        <f t="shared" si="16"/>
        <v>April</v>
      </c>
      <c r="C94">
        <f t="shared" si="17"/>
        <v>14</v>
      </c>
      <c r="D94" t="s">
        <v>16</v>
      </c>
      <c r="E94">
        <v>2.64</v>
      </c>
      <c r="F94">
        <v>7.37</v>
      </c>
      <c r="G94">
        <v>1.57</v>
      </c>
      <c r="H94">
        <v>1.22</v>
      </c>
      <c r="I94">
        <v>0.42</v>
      </c>
      <c r="J94">
        <v>0.67</v>
      </c>
      <c r="K94">
        <v>1.83</v>
      </c>
      <c r="L94">
        <v>9</v>
      </c>
      <c r="M94">
        <f t="shared" si="18"/>
        <v>7</v>
      </c>
      <c r="N94">
        <f t="shared" si="19"/>
        <v>0.86285714285714299</v>
      </c>
      <c r="O94">
        <f t="shared" si="20"/>
        <v>6.0400000000000009</v>
      </c>
      <c r="P94">
        <f t="shared" si="21"/>
        <v>2.31</v>
      </c>
      <c r="Q94">
        <f t="shared" si="22"/>
        <v>3.4169999999999998</v>
      </c>
      <c r="R94">
        <f t="shared" si="23"/>
        <v>0.72335329341317367</v>
      </c>
    </row>
    <row r="95" spans="1:18" x14ac:dyDescent="0.3">
      <c r="A95">
        <v>45751</v>
      </c>
      <c r="B95" t="str">
        <f t="shared" si="16"/>
        <v>April</v>
      </c>
      <c r="C95">
        <f t="shared" si="17"/>
        <v>14</v>
      </c>
      <c r="D95" t="s">
        <v>17</v>
      </c>
      <c r="E95">
        <v>5.4</v>
      </c>
      <c r="F95">
        <v>5.85</v>
      </c>
      <c r="G95">
        <v>2</v>
      </c>
      <c r="H95">
        <v>2.1800000000000002</v>
      </c>
      <c r="I95">
        <v>1.17</v>
      </c>
      <c r="J95">
        <v>0.15</v>
      </c>
      <c r="K95">
        <v>1.89</v>
      </c>
      <c r="L95">
        <v>5</v>
      </c>
      <c r="M95">
        <f t="shared" si="18"/>
        <v>7</v>
      </c>
      <c r="N95">
        <f t="shared" si="19"/>
        <v>1</v>
      </c>
      <c r="O95">
        <f t="shared" si="20"/>
        <v>9.2899999999999991</v>
      </c>
      <c r="P95">
        <f t="shared" si="21"/>
        <v>3.5</v>
      </c>
      <c r="Q95">
        <f t="shared" si="22"/>
        <v>3.9800000000000004</v>
      </c>
      <c r="R95">
        <f t="shared" si="23"/>
        <v>0.72634870992963252</v>
      </c>
    </row>
    <row r="96" spans="1:18" x14ac:dyDescent="0.3">
      <c r="A96">
        <v>45752</v>
      </c>
      <c r="B96" t="str">
        <f t="shared" si="16"/>
        <v>April</v>
      </c>
      <c r="C96">
        <f t="shared" si="17"/>
        <v>14</v>
      </c>
      <c r="D96" t="s">
        <v>18</v>
      </c>
      <c r="E96">
        <v>2.76</v>
      </c>
      <c r="F96">
        <v>5.29</v>
      </c>
      <c r="G96">
        <v>1.93</v>
      </c>
      <c r="H96">
        <v>2.4900000000000002</v>
      </c>
      <c r="I96">
        <v>1.37</v>
      </c>
      <c r="J96">
        <v>1.69</v>
      </c>
      <c r="K96">
        <v>0.96</v>
      </c>
      <c r="L96">
        <v>2</v>
      </c>
      <c r="M96">
        <f t="shared" si="18"/>
        <v>5</v>
      </c>
      <c r="N96">
        <f t="shared" si="19"/>
        <v>1</v>
      </c>
      <c r="O96">
        <f t="shared" si="20"/>
        <v>5.6499999999999995</v>
      </c>
      <c r="P96">
        <f t="shared" si="21"/>
        <v>5.5500000000000007</v>
      </c>
      <c r="Q96">
        <f t="shared" si="22"/>
        <v>2.6909999999999998</v>
      </c>
      <c r="R96">
        <f t="shared" si="23"/>
        <v>0.5044642857142857</v>
      </c>
    </row>
    <row r="97" spans="1:18" x14ac:dyDescent="0.3">
      <c r="A97">
        <v>45753</v>
      </c>
      <c r="B97" t="str">
        <f t="shared" si="16"/>
        <v>April</v>
      </c>
      <c r="C97">
        <f t="shared" si="17"/>
        <v>14</v>
      </c>
      <c r="D97" t="s">
        <v>19</v>
      </c>
      <c r="E97">
        <v>4.59</v>
      </c>
      <c r="F97">
        <v>5.14</v>
      </c>
      <c r="G97">
        <v>0.99</v>
      </c>
      <c r="H97">
        <v>1.96</v>
      </c>
      <c r="I97">
        <v>2.89</v>
      </c>
      <c r="J97">
        <v>0.09</v>
      </c>
      <c r="K97">
        <v>0.19</v>
      </c>
      <c r="L97">
        <v>1</v>
      </c>
      <c r="M97">
        <f t="shared" si="18"/>
        <v>5</v>
      </c>
      <c r="N97">
        <f t="shared" si="19"/>
        <v>1</v>
      </c>
      <c r="O97">
        <f t="shared" si="20"/>
        <v>5.7700000000000005</v>
      </c>
      <c r="P97">
        <f t="shared" si="21"/>
        <v>4.9399999999999995</v>
      </c>
      <c r="Q97">
        <f t="shared" si="22"/>
        <v>3.0910000000000002</v>
      </c>
      <c r="R97">
        <f t="shared" si="23"/>
        <v>0.5387488328664799</v>
      </c>
    </row>
    <row r="98" spans="1:18" x14ac:dyDescent="0.3">
      <c r="A98">
        <v>45754</v>
      </c>
      <c r="B98" t="str">
        <f t="shared" ref="B98:B129" si="24">TEXT(A98,"MMMM")</f>
        <v>April</v>
      </c>
      <c r="C98">
        <f t="shared" ref="C98:C129" si="25">WEEKNUM(A98,2)</f>
        <v>15</v>
      </c>
      <c r="D98" t="s">
        <v>20</v>
      </c>
      <c r="E98">
        <v>2.2000000000000002</v>
      </c>
      <c r="F98">
        <v>6.8</v>
      </c>
      <c r="G98">
        <v>0.9</v>
      </c>
      <c r="H98">
        <v>4.18</v>
      </c>
      <c r="I98">
        <v>0.53</v>
      </c>
      <c r="J98">
        <v>1.49</v>
      </c>
      <c r="K98">
        <v>0.63</v>
      </c>
      <c r="L98">
        <v>2</v>
      </c>
      <c r="M98">
        <f t="shared" ref="M98:M129" si="26">IF(D98="Saturday",5,IF(D98="Sunday",5,7))</f>
        <v>7</v>
      </c>
      <c r="N98">
        <f t="shared" ref="N98:N129" si="27">MIN(O98/M98,1)</f>
        <v>0.53285714285714281</v>
      </c>
      <c r="O98">
        <f t="shared" ref="O98:O129" si="28">E98+K98+G98</f>
        <v>3.73</v>
      </c>
      <c r="P98">
        <f t="shared" ref="P98:P129" si="29">H98+I98+J98</f>
        <v>6.2</v>
      </c>
      <c r="Q98">
        <f t="shared" ref="Q98:Q129" si="30">MAX(0, MIN(10, (E98*0.4 + F98*0.3 + G98*0.2) - (H98*0.1 + I98*0.1)))</f>
        <v>2.629</v>
      </c>
      <c r="R98">
        <f t="shared" ref="R98:R129" si="31">O98/(O98+P98)</f>
        <v>0.37562940584088622</v>
      </c>
    </row>
    <row r="99" spans="1:18" x14ac:dyDescent="0.3">
      <c r="A99">
        <v>45755</v>
      </c>
      <c r="B99" t="str">
        <f t="shared" si="24"/>
        <v>April</v>
      </c>
      <c r="C99">
        <f t="shared" si="25"/>
        <v>15</v>
      </c>
      <c r="D99" t="s">
        <v>21</v>
      </c>
      <c r="E99">
        <v>1.98</v>
      </c>
      <c r="F99">
        <v>7.34</v>
      </c>
      <c r="G99">
        <v>0.08</v>
      </c>
      <c r="H99">
        <v>2.87</v>
      </c>
      <c r="I99">
        <v>1.29</v>
      </c>
      <c r="J99">
        <v>0.87</v>
      </c>
      <c r="K99">
        <v>1.04</v>
      </c>
      <c r="L99">
        <v>5</v>
      </c>
      <c r="M99">
        <f t="shared" si="26"/>
        <v>7</v>
      </c>
      <c r="N99">
        <f t="shared" si="27"/>
        <v>0.44285714285714289</v>
      </c>
      <c r="O99">
        <f t="shared" si="28"/>
        <v>3.1</v>
      </c>
      <c r="P99">
        <f t="shared" si="29"/>
        <v>5.03</v>
      </c>
      <c r="Q99">
        <f t="shared" si="30"/>
        <v>2.5939999999999999</v>
      </c>
      <c r="R99">
        <f t="shared" si="31"/>
        <v>0.38130381303813038</v>
      </c>
    </row>
    <row r="100" spans="1:18" x14ac:dyDescent="0.3">
      <c r="A100">
        <v>45756</v>
      </c>
      <c r="B100" t="str">
        <f t="shared" si="24"/>
        <v>April</v>
      </c>
      <c r="C100">
        <f t="shared" si="25"/>
        <v>15</v>
      </c>
      <c r="D100" t="s">
        <v>15</v>
      </c>
      <c r="E100">
        <v>1.02</v>
      </c>
      <c r="F100">
        <v>7.01</v>
      </c>
      <c r="G100">
        <v>0.67</v>
      </c>
      <c r="H100">
        <v>4.83</v>
      </c>
      <c r="I100">
        <v>0.82</v>
      </c>
      <c r="J100">
        <v>0.71</v>
      </c>
      <c r="K100">
        <v>1.86</v>
      </c>
      <c r="L100">
        <v>6</v>
      </c>
      <c r="M100">
        <f t="shared" si="26"/>
        <v>7</v>
      </c>
      <c r="N100">
        <f t="shared" si="27"/>
        <v>0.50714285714285712</v>
      </c>
      <c r="O100">
        <f t="shared" si="28"/>
        <v>3.55</v>
      </c>
      <c r="P100">
        <f t="shared" si="29"/>
        <v>6.36</v>
      </c>
      <c r="Q100">
        <f t="shared" si="30"/>
        <v>2.0799999999999996</v>
      </c>
      <c r="R100">
        <f t="shared" si="31"/>
        <v>0.35822401614530774</v>
      </c>
    </row>
    <row r="101" spans="1:18" x14ac:dyDescent="0.3">
      <c r="A101">
        <v>45757</v>
      </c>
      <c r="B101" t="str">
        <f t="shared" si="24"/>
        <v>April</v>
      </c>
      <c r="C101">
        <f t="shared" si="25"/>
        <v>15</v>
      </c>
      <c r="D101" t="s">
        <v>16</v>
      </c>
      <c r="E101">
        <v>4.38</v>
      </c>
      <c r="F101">
        <v>6.08</v>
      </c>
      <c r="G101">
        <v>0.92</v>
      </c>
      <c r="H101">
        <v>4.67</v>
      </c>
      <c r="I101">
        <v>2.5499999999999998</v>
      </c>
      <c r="J101">
        <v>1.39</v>
      </c>
      <c r="K101">
        <v>0.05</v>
      </c>
      <c r="L101">
        <v>2</v>
      </c>
      <c r="M101">
        <f t="shared" si="26"/>
        <v>7</v>
      </c>
      <c r="N101">
        <f t="shared" si="27"/>
        <v>0.76428571428571423</v>
      </c>
      <c r="O101">
        <f t="shared" si="28"/>
        <v>5.35</v>
      </c>
      <c r="P101">
        <f t="shared" si="29"/>
        <v>8.61</v>
      </c>
      <c r="Q101">
        <f t="shared" si="30"/>
        <v>3.0379999999999998</v>
      </c>
      <c r="R101">
        <f t="shared" si="31"/>
        <v>0.38323782234957021</v>
      </c>
    </row>
    <row r="102" spans="1:18" x14ac:dyDescent="0.3">
      <c r="A102">
        <v>45758</v>
      </c>
      <c r="B102" t="str">
        <f t="shared" si="24"/>
        <v>April</v>
      </c>
      <c r="C102">
        <f t="shared" si="25"/>
        <v>15</v>
      </c>
      <c r="D102" t="s">
        <v>17</v>
      </c>
      <c r="E102">
        <v>5.0199999999999996</v>
      </c>
      <c r="F102">
        <v>8.2799999999999994</v>
      </c>
      <c r="G102">
        <v>0.51</v>
      </c>
      <c r="H102">
        <v>2.5299999999999998</v>
      </c>
      <c r="I102">
        <v>1.34</v>
      </c>
      <c r="J102">
        <v>0.57999999999999996</v>
      </c>
      <c r="K102">
        <v>0.89</v>
      </c>
      <c r="L102">
        <v>6</v>
      </c>
      <c r="M102">
        <f t="shared" si="26"/>
        <v>7</v>
      </c>
      <c r="N102">
        <f t="shared" si="27"/>
        <v>0.91714285714285704</v>
      </c>
      <c r="O102">
        <f t="shared" si="28"/>
        <v>6.419999999999999</v>
      </c>
      <c r="P102">
        <f t="shared" si="29"/>
        <v>4.45</v>
      </c>
      <c r="Q102">
        <f t="shared" si="30"/>
        <v>4.206999999999999</v>
      </c>
      <c r="R102">
        <f t="shared" si="31"/>
        <v>0.59061637534498612</v>
      </c>
    </row>
    <row r="103" spans="1:18" x14ac:dyDescent="0.3">
      <c r="A103">
        <v>45759</v>
      </c>
      <c r="B103" t="str">
        <f t="shared" si="24"/>
        <v>April</v>
      </c>
      <c r="C103">
        <f t="shared" si="25"/>
        <v>15</v>
      </c>
      <c r="D103" t="s">
        <v>18</v>
      </c>
      <c r="E103">
        <v>3.92</v>
      </c>
      <c r="F103">
        <v>7.46</v>
      </c>
      <c r="G103">
        <v>1.21</v>
      </c>
      <c r="H103">
        <v>3.16</v>
      </c>
      <c r="I103">
        <v>1.4</v>
      </c>
      <c r="J103">
        <v>0.06</v>
      </c>
      <c r="K103">
        <v>1.88</v>
      </c>
      <c r="L103">
        <v>4</v>
      </c>
      <c r="M103">
        <f t="shared" si="26"/>
        <v>5</v>
      </c>
      <c r="N103">
        <f t="shared" si="27"/>
        <v>1</v>
      </c>
      <c r="O103">
        <f t="shared" si="28"/>
        <v>7.01</v>
      </c>
      <c r="P103">
        <f t="shared" si="29"/>
        <v>4.62</v>
      </c>
      <c r="Q103">
        <f t="shared" si="30"/>
        <v>3.5920000000000001</v>
      </c>
      <c r="R103">
        <f t="shared" si="31"/>
        <v>0.60275150472914873</v>
      </c>
    </row>
    <row r="104" spans="1:18" x14ac:dyDescent="0.3">
      <c r="A104">
        <v>45760</v>
      </c>
      <c r="B104" t="str">
        <f t="shared" si="24"/>
        <v>April</v>
      </c>
      <c r="C104">
        <f t="shared" si="25"/>
        <v>15</v>
      </c>
      <c r="D104" t="s">
        <v>19</v>
      </c>
      <c r="E104">
        <v>5.77</v>
      </c>
      <c r="F104">
        <v>7.89</v>
      </c>
      <c r="G104">
        <v>0.43</v>
      </c>
      <c r="H104">
        <v>2</v>
      </c>
      <c r="I104">
        <v>0.89</v>
      </c>
      <c r="J104">
        <v>0.09</v>
      </c>
      <c r="K104">
        <v>0.11</v>
      </c>
      <c r="L104">
        <v>8</v>
      </c>
      <c r="M104">
        <f t="shared" si="26"/>
        <v>5</v>
      </c>
      <c r="N104">
        <f t="shared" si="27"/>
        <v>1</v>
      </c>
      <c r="O104">
        <f t="shared" si="28"/>
        <v>6.31</v>
      </c>
      <c r="P104">
        <f t="shared" si="29"/>
        <v>2.98</v>
      </c>
      <c r="Q104">
        <f t="shared" si="30"/>
        <v>4.4720000000000004</v>
      </c>
      <c r="R104">
        <f t="shared" si="31"/>
        <v>0.67922497308934338</v>
      </c>
    </row>
    <row r="105" spans="1:18" x14ac:dyDescent="0.3">
      <c r="A105">
        <v>45761</v>
      </c>
      <c r="B105" t="str">
        <f t="shared" si="24"/>
        <v>April</v>
      </c>
      <c r="C105">
        <f t="shared" si="25"/>
        <v>16</v>
      </c>
      <c r="D105" t="s">
        <v>20</v>
      </c>
      <c r="E105">
        <v>5.38</v>
      </c>
      <c r="F105">
        <v>7.12</v>
      </c>
      <c r="G105">
        <v>1.54</v>
      </c>
      <c r="H105">
        <v>1.1399999999999999</v>
      </c>
      <c r="I105">
        <v>0.01</v>
      </c>
      <c r="J105">
        <v>1.68</v>
      </c>
      <c r="K105">
        <v>1.02</v>
      </c>
      <c r="L105">
        <v>9</v>
      </c>
      <c r="M105">
        <f t="shared" si="26"/>
        <v>7</v>
      </c>
      <c r="N105">
        <f t="shared" si="27"/>
        <v>1</v>
      </c>
      <c r="O105">
        <f t="shared" si="28"/>
        <v>7.94</v>
      </c>
      <c r="P105">
        <f t="shared" si="29"/>
        <v>2.83</v>
      </c>
      <c r="Q105">
        <f t="shared" si="30"/>
        <v>4.4809999999999999</v>
      </c>
      <c r="R105">
        <f t="shared" si="31"/>
        <v>0.73723305478180134</v>
      </c>
    </row>
    <row r="106" spans="1:18" x14ac:dyDescent="0.3">
      <c r="A106">
        <v>45762</v>
      </c>
      <c r="B106" t="str">
        <f t="shared" si="24"/>
        <v>April</v>
      </c>
      <c r="C106">
        <f t="shared" si="25"/>
        <v>16</v>
      </c>
      <c r="D106" t="s">
        <v>21</v>
      </c>
      <c r="E106">
        <v>3.15</v>
      </c>
      <c r="F106">
        <v>5.15</v>
      </c>
      <c r="G106">
        <v>1.43</v>
      </c>
      <c r="H106">
        <v>3.82</v>
      </c>
      <c r="I106">
        <v>2.13</v>
      </c>
      <c r="J106">
        <v>1.56</v>
      </c>
      <c r="K106">
        <v>0.15</v>
      </c>
      <c r="L106">
        <v>7</v>
      </c>
      <c r="M106">
        <f t="shared" si="26"/>
        <v>7</v>
      </c>
      <c r="N106">
        <f t="shared" si="27"/>
        <v>0.6757142857142856</v>
      </c>
      <c r="O106">
        <f t="shared" si="28"/>
        <v>4.7299999999999995</v>
      </c>
      <c r="P106">
        <f t="shared" si="29"/>
        <v>7.51</v>
      </c>
      <c r="Q106">
        <f t="shared" si="30"/>
        <v>2.4960000000000004</v>
      </c>
      <c r="R106">
        <f t="shared" si="31"/>
        <v>0.38643790849673204</v>
      </c>
    </row>
    <row r="107" spans="1:18" x14ac:dyDescent="0.3">
      <c r="A107">
        <v>45763</v>
      </c>
      <c r="B107" t="str">
        <f t="shared" si="24"/>
        <v>April</v>
      </c>
      <c r="C107">
        <f t="shared" si="25"/>
        <v>16</v>
      </c>
      <c r="D107" t="s">
        <v>15</v>
      </c>
      <c r="E107">
        <v>1.18</v>
      </c>
      <c r="F107">
        <v>7.29</v>
      </c>
      <c r="G107">
        <v>0.66</v>
      </c>
      <c r="H107">
        <v>4.04</v>
      </c>
      <c r="I107">
        <v>0.3</v>
      </c>
      <c r="J107">
        <v>1.85</v>
      </c>
      <c r="K107">
        <v>0.22</v>
      </c>
      <c r="L107">
        <v>2</v>
      </c>
      <c r="M107">
        <f t="shared" si="26"/>
        <v>7</v>
      </c>
      <c r="N107">
        <f t="shared" si="27"/>
        <v>0.29428571428571432</v>
      </c>
      <c r="O107">
        <f t="shared" si="28"/>
        <v>2.06</v>
      </c>
      <c r="P107">
        <f t="shared" si="29"/>
        <v>6.1899999999999995</v>
      </c>
      <c r="Q107">
        <f t="shared" si="30"/>
        <v>2.3569999999999998</v>
      </c>
      <c r="R107">
        <f t="shared" si="31"/>
        <v>0.2496969696969697</v>
      </c>
    </row>
    <row r="108" spans="1:18" x14ac:dyDescent="0.3">
      <c r="A108">
        <v>45764</v>
      </c>
      <c r="B108" t="str">
        <f t="shared" si="24"/>
        <v>April</v>
      </c>
      <c r="C108">
        <f t="shared" si="25"/>
        <v>16</v>
      </c>
      <c r="D108" t="s">
        <v>16</v>
      </c>
      <c r="E108">
        <v>4.08</v>
      </c>
      <c r="F108">
        <v>7.96</v>
      </c>
      <c r="G108">
        <v>0.89</v>
      </c>
      <c r="H108">
        <v>3.6</v>
      </c>
      <c r="I108">
        <v>1.25</v>
      </c>
      <c r="J108">
        <v>1.41</v>
      </c>
      <c r="K108">
        <v>0.01</v>
      </c>
      <c r="L108">
        <v>2</v>
      </c>
      <c r="M108">
        <f t="shared" si="26"/>
        <v>7</v>
      </c>
      <c r="N108">
        <f t="shared" si="27"/>
        <v>0.71142857142857141</v>
      </c>
      <c r="O108">
        <f t="shared" si="28"/>
        <v>4.9799999999999995</v>
      </c>
      <c r="P108">
        <f t="shared" si="29"/>
        <v>6.26</v>
      </c>
      <c r="Q108">
        <f t="shared" si="30"/>
        <v>3.7129999999999996</v>
      </c>
      <c r="R108">
        <f t="shared" si="31"/>
        <v>0.44306049822064059</v>
      </c>
    </row>
    <row r="109" spans="1:18" x14ac:dyDescent="0.3">
      <c r="A109">
        <v>45765</v>
      </c>
      <c r="B109" t="str">
        <f t="shared" si="24"/>
        <v>April</v>
      </c>
      <c r="C109">
        <f t="shared" si="25"/>
        <v>16</v>
      </c>
      <c r="D109" t="s">
        <v>17</v>
      </c>
      <c r="E109">
        <v>4.72</v>
      </c>
      <c r="F109">
        <v>8.43</v>
      </c>
      <c r="G109">
        <v>0.48</v>
      </c>
      <c r="H109">
        <v>2.06</v>
      </c>
      <c r="I109">
        <v>2.99</v>
      </c>
      <c r="J109">
        <v>1.39</v>
      </c>
      <c r="K109">
        <v>1.04</v>
      </c>
      <c r="L109">
        <v>9</v>
      </c>
      <c r="M109">
        <f t="shared" si="26"/>
        <v>7</v>
      </c>
      <c r="N109">
        <f t="shared" si="27"/>
        <v>0.89142857142857146</v>
      </c>
      <c r="O109">
        <f t="shared" si="28"/>
        <v>6.24</v>
      </c>
      <c r="P109">
        <f t="shared" si="29"/>
        <v>6.44</v>
      </c>
      <c r="Q109">
        <f t="shared" si="30"/>
        <v>4.008</v>
      </c>
      <c r="R109">
        <f t="shared" si="31"/>
        <v>0.49211356466876977</v>
      </c>
    </row>
    <row r="110" spans="1:18" x14ac:dyDescent="0.3">
      <c r="A110">
        <v>45766</v>
      </c>
      <c r="B110" t="str">
        <f t="shared" si="24"/>
        <v>April</v>
      </c>
      <c r="C110">
        <f t="shared" si="25"/>
        <v>16</v>
      </c>
      <c r="D110" t="s">
        <v>18</v>
      </c>
      <c r="E110">
        <v>3.03</v>
      </c>
      <c r="F110">
        <v>7.98</v>
      </c>
      <c r="G110">
        <v>1.07</v>
      </c>
      <c r="H110">
        <v>4.83</v>
      </c>
      <c r="I110">
        <v>0.81</v>
      </c>
      <c r="J110">
        <v>1.27</v>
      </c>
      <c r="K110">
        <v>0.3</v>
      </c>
      <c r="L110">
        <v>5</v>
      </c>
      <c r="M110">
        <f t="shared" si="26"/>
        <v>5</v>
      </c>
      <c r="N110">
        <f t="shared" si="27"/>
        <v>0.87999999999999989</v>
      </c>
      <c r="O110">
        <f t="shared" si="28"/>
        <v>4.3999999999999995</v>
      </c>
      <c r="P110">
        <f t="shared" si="29"/>
        <v>6.91</v>
      </c>
      <c r="Q110">
        <f t="shared" si="30"/>
        <v>3.2559999999999998</v>
      </c>
      <c r="R110">
        <f t="shared" si="31"/>
        <v>0.38903625110521661</v>
      </c>
    </row>
    <row r="111" spans="1:18" x14ac:dyDescent="0.3">
      <c r="A111">
        <v>45767</v>
      </c>
      <c r="B111" t="str">
        <f t="shared" si="24"/>
        <v>April</v>
      </c>
      <c r="C111">
        <f t="shared" si="25"/>
        <v>16</v>
      </c>
      <c r="D111" t="s">
        <v>19</v>
      </c>
      <c r="E111">
        <v>3.03</v>
      </c>
      <c r="F111">
        <v>8.26</v>
      </c>
      <c r="G111">
        <v>0.99</v>
      </c>
      <c r="H111">
        <v>4.37</v>
      </c>
      <c r="I111">
        <v>0.42</v>
      </c>
      <c r="J111">
        <v>0.85</v>
      </c>
      <c r="K111">
        <v>0.6</v>
      </c>
      <c r="L111">
        <v>7</v>
      </c>
      <c r="M111">
        <f t="shared" si="26"/>
        <v>5</v>
      </c>
      <c r="N111">
        <f t="shared" si="27"/>
        <v>0.92400000000000004</v>
      </c>
      <c r="O111">
        <f t="shared" si="28"/>
        <v>4.62</v>
      </c>
      <c r="P111">
        <f t="shared" si="29"/>
        <v>5.64</v>
      </c>
      <c r="Q111">
        <f t="shared" si="30"/>
        <v>3.4089999999999994</v>
      </c>
      <c r="R111">
        <f t="shared" si="31"/>
        <v>0.45029239766081874</v>
      </c>
    </row>
    <row r="112" spans="1:18" x14ac:dyDescent="0.3">
      <c r="A112">
        <v>45768</v>
      </c>
      <c r="B112" t="str">
        <f t="shared" si="24"/>
        <v>April</v>
      </c>
      <c r="C112">
        <f t="shared" si="25"/>
        <v>17</v>
      </c>
      <c r="D112" t="s">
        <v>20</v>
      </c>
      <c r="E112">
        <v>1.36</v>
      </c>
      <c r="F112">
        <v>8.92</v>
      </c>
      <c r="G112">
        <v>0.97</v>
      </c>
      <c r="H112">
        <v>4.6900000000000004</v>
      </c>
      <c r="I112">
        <v>0.28000000000000003</v>
      </c>
      <c r="J112">
        <v>2</v>
      </c>
      <c r="K112">
        <v>0.23</v>
      </c>
      <c r="L112">
        <v>7</v>
      </c>
      <c r="M112">
        <f t="shared" si="26"/>
        <v>7</v>
      </c>
      <c r="N112">
        <f t="shared" si="27"/>
        <v>0.36571428571428571</v>
      </c>
      <c r="O112">
        <f t="shared" si="28"/>
        <v>2.56</v>
      </c>
      <c r="P112">
        <f t="shared" si="29"/>
        <v>6.9700000000000006</v>
      </c>
      <c r="Q112">
        <f t="shared" si="30"/>
        <v>2.9169999999999998</v>
      </c>
      <c r="R112">
        <f t="shared" si="31"/>
        <v>0.2686253934942287</v>
      </c>
    </row>
    <row r="113" spans="1:18" x14ac:dyDescent="0.3">
      <c r="A113">
        <v>45769</v>
      </c>
      <c r="B113" t="str">
        <f t="shared" si="24"/>
        <v>April</v>
      </c>
      <c r="C113">
        <f t="shared" si="25"/>
        <v>17</v>
      </c>
      <c r="D113" t="s">
        <v>21</v>
      </c>
      <c r="E113">
        <v>2.76</v>
      </c>
      <c r="F113">
        <v>6.97</v>
      </c>
      <c r="G113">
        <v>0.82</v>
      </c>
      <c r="H113">
        <v>4.63</v>
      </c>
      <c r="I113">
        <v>1.65</v>
      </c>
      <c r="J113">
        <v>1.3</v>
      </c>
      <c r="K113">
        <v>1.38</v>
      </c>
      <c r="L113">
        <v>8</v>
      </c>
      <c r="M113">
        <f t="shared" si="26"/>
        <v>7</v>
      </c>
      <c r="N113">
        <f t="shared" si="27"/>
        <v>0.70857142857142852</v>
      </c>
      <c r="O113">
        <f t="shared" si="28"/>
        <v>4.96</v>
      </c>
      <c r="P113">
        <f t="shared" si="29"/>
        <v>7.5799999999999992</v>
      </c>
      <c r="Q113">
        <f t="shared" si="30"/>
        <v>2.7309999999999994</v>
      </c>
      <c r="R113">
        <f t="shared" si="31"/>
        <v>0.3955342902711324</v>
      </c>
    </row>
    <row r="114" spans="1:18" x14ac:dyDescent="0.3">
      <c r="A114">
        <v>45770</v>
      </c>
      <c r="B114" t="str">
        <f t="shared" si="24"/>
        <v>April</v>
      </c>
      <c r="C114">
        <f t="shared" si="25"/>
        <v>17</v>
      </c>
      <c r="D114" t="s">
        <v>15</v>
      </c>
      <c r="E114">
        <v>4.51</v>
      </c>
      <c r="F114">
        <v>6.83</v>
      </c>
      <c r="G114">
        <v>1.42</v>
      </c>
      <c r="H114">
        <v>2.72</v>
      </c>
      <c r="I114">
        <v>1.1299999999999999</v>
      </c>
      <c r="J114">
        <v>1.1000000000000001</v>
      </c>
      <c r="K114">
        <v>1.93</v>
      </c>
      <c r="L114">
        <v>8</v>
      </c>
      <c r="M114">
        <f t="shared" si="26"/>
        <v>7</v>
      </c>
      <c r="N114">
        <f t="shared" si="27"/>
        <v>1</v>
      </c>
      <c r="O114">
        <f t="shared" si="28"/>
        <v>7.8599999999999994</v>
      </c>
      <c r="P114">
        <f t="shared" si="29"/>
        <v>4.95</v>
      </c>
      <c r="Q114">
        <f t="shared" si="30"/>
        <v>3.7519999999999998</v>
      </c>
      <c r="R114">
        <f t="shared" si="31"/>
        <v>0.61358313817330212</v>
      </c>
    </row>
    <row r="115" spans="1:18" x14ac:dyDescent="0.3">
      <c r="A115">
        <v>45771</v>
      </c>
      <c r="B115" t="str">
        <f t="shared" si="24"/>
        <v>April</v>
      </c>
      <c r="C115">
        <f t="shared" si="25"/>
        <v>17</v>
      </c>
      <c r="D115" t="s">
        <v>16</v>
      </c>
      <c r="E115">
        <v>2.5299999999999998</v>
      </c>
      <c r="F115">
        <v>8.65</v>
      </c>
      <c r="G115">
        <v>0.92</v>
      </c>
      <c r="H115">
        <v>4.5999999999999996</v>
      </c>
      <c r="I115">
        <v>1.93</v>
      </c>
      <c r="J115">
        <v>1.41</v>
      </c>
      <c r="K115">
        <v>1.9</v>
      </c>
      <c r="L115">
        <v>1</v>
      </c>
      <c r="M115">
        <f t="shared" si="26"/>
        <v>7</v>
      </c>
      <c r="N115">
        <f t="shared" si="27"/>
        <v>0.76428571428571423</v>
      </c>
      <c r="O115">
        <f t="shared" si="28"/>
        <v>5.35</v>
      </c>
      <c r="P115">
        <f t="shared" si="29"/>
        <v>7.9399999999999995</v>
      </c>
      <c r="Q115">
        <f t="shared" si="30"/>
        <v>3.1380000000000003</v>
      </c>
      <c r="R115">
        <f t="shared" si="31"/>
        <v>0.40255831452219715</v>
      </c>
    </row>
    <row r="116" spans="1:18" x14ac:dyDescent="0.3">
      <c r="A116">
        <v>45772</v>
      </c>
      <c r="B116" t="str">
        <f t="shared" si="24"/>
        <v>April</v>
      </c>
      <c r="C116">
        <f t="shared" si="25"/>
        <v>17</v>
      </c>
      <c r="D116" t="s">
        <v>17</v>
      </c>
      <c r="E116">
        <v>3.46</v>
      </c>
      <c r="F116">
        <v>6.09</v>
      </c>
      <c r="G116">
        <v>0.75</v>
      </c>
      <c r="H116">
        <v>3.26</v>
      </c>
      <c r="I116">
        <v>1.83</v>
      </c>
      <c r="J116">
        <v>0.21</v>
      </c>
      <c r="K116">
        <v>0.06</v>
      </c>
      <c r="L116">
        <v>5</v>
      </c>
      <c r="M116">
        <f t="shared" si="26"/>
        <v>7</v>
      </c>
      <c r="N116">
        <f t="shared" si="27"/>
        <v>0.61</v>
      </c>
      <c r="O116">
        <f t="shared" si="28"/>
        <v>4.2699999999999996</v>
      </c>
      <c r="P116">
        <f t="shared" si="29"/>
        <v>5.3</v>
      </c>
      <c r="Q116">
        <f t="shared" si="30"/>
        <v>2.8520000000000003</v>
      </c>
      <c r="R116">
        <f t="shared" si="31"/>
        <v>0.4461859979101358</v>
      </c>
    </row>
    <row r="117" spans="1:18" x14ac:dyDescent="0.3">
      <c r="A117">
        <v>45773</v>
      </c>
      <c r="B117" t="str">
        <f t="shared" si="24"/>
        <v>April</v>
      </c>
      <c r="C117">
        <f t="shared" si="25"/>
        <v>17</v>
      </c>
      <c r="D117" t="s">
        <v>18</v>
      </c>
      <c r="E117">
        <v>3.89</v>
      </c>
      <c r="F117">
        <v>6.2</v>
      </c>
      <c r="G117">
        <v>0.78</v>
      </c>
      <c r="H117">
        <v>1.05</v>
      </c>
      <c r="I117">
        <v>1.17</v>
      </c>
      <c r="J117">
        <v>0.38</v>
      </c>
      <c r="K117">
        <v>0.78</v>
      </c>
      <c r="L117">
        <v>5</v>
      </c>
      <c r="M117">
        <f t="shared" si="26"/>
        <v>5</v>
      </c>
      <c r="N117">
        <f t="shared" si="27"/>
        <v>1</v>
      </c>
      <c r="O117">
        <f t="shared" si="28"/>
        <v>5.45</v>
      </c>
      <c r="P117">
        <f t="shared" si="29"/>
        <v>2.5999999999999996</v>
      </c>
      <c r="Q117">
        <f t="shared" si="30"/>
        <v>3.35</v>
      </c>
      <c r="R117">
        <f t="shared" si="31"/>
        <v>0.67701863354037262</v>
      </c>
    </row>
    <row r="118" spans="1:18" x14ac:dyDescent="0.3">
      <c r="A118">
        <v>45774</v>
      </c>
      <c r="B118" t="str">
        <f t="shared" si="24"/>
        <v>April</v>
      </c>
      <c r="C118">
        <f t="shared" si="25"/>
        <v>17</v>
      </c>
      <c r="D118" t="s">
        <v>19</v>
      </c>
      <c r="E118">
        <v>4.76</v>
      </c>
      <c r="F118">
        <v>6.07</v>
      </c>
      <c r="G118">
        <v>0.87</v>
      </c>
      <c r="H118">
        <v>3.06</v>
      </c>
      <c r="I118">
        <v>1.1499999999999999</v>
      </c>
      <c r="J118">
        <v>1.93</v>
      </c>
      <c r="K118">
        <v>1.92</v>
      </c>
      <c r="L118">
        <v>2</v>
      </c>
      <c r="M118">
        <f t="shared" si="26"/>
        <v>5</v>
      </c>
      <c r="N118">
        <f t="shared" si="27"/>
        <v>1</v>
      </c>
      <c r="O118">
        <f t="shared" si="28"/>
        <v>7.55</v>
      </c>
      <c r="P118">
        <f t="shared" si="29"/>
        <v>6.14</v>
      </c>
      <c r="Q118">
        <f t="shared" si="30"/>
        <v>3.4779999999999998</v>
      </c>
      <c r="R118">
        <f t="shared" si="31"/>
        <v>0.55149744338933526</v>
      </c>
    </row>
    <row r="119" spans="1:18" x14ac:dyDescent="0.3">
      <c r="A119">
        <v>45775</v>
      </c>
      <c r="B119" t="str">
        <f t="shared" si="24"/>
        <v>April</v>
      </c>
      <c r="C119">
        <f t="shared" si="25"/>
        <v>18</v>
      </c>
      <c r="D119" t="s">
        <v>20</v>
      </c>
      <c r="E119">
        <v>4.18</v>
      </c>
      <c r="F119">
        <v>5.1100000000000003</v>
      </c>
      <c r="G119">
        <v>0.21</v>
      </c>
      <c r="H119">
        <v>4.8</v>
      </c>
      <c r="I119">
        <v>2.95</v>
      </c>
      <c r="J119">
        <v>1.1200000000000001</v>
      </c>
      <c r="K119">
        <v>0.36</v>
      </c>
      <c r="L119">
        <v>10</v>
      </c>
      <c r="M119">
        <f t="shared" si="26"/>
        <v>7</v>
      </c>
      <c r="N119">
        <f t="shared" si="27"/>
        <v>0.6785714285714286</v>
      </c>
      <c r="O119">
        <f t="shared" si="28"/>
        <v>4.75</v>
      </c>
      <c r="P119">
        <f t="shared" si="29"/>
        <v>8.870000000000001</v>
      </c>
      <c r="Q119">
        <f t="shared" si="30"/>
        <v>2.472</v>
      </c>
      <c r="R119">
        <f t="shared" si="31"/>
        <v>0.3487518355359765</v>
      </c>
    </row>
    <row r="120" spans="1:18" x14ac:dyDescent="0.3">
      <c r="A120">
        <v>45776</v>
      </c>
      <c r="B120" t="str">
        <f t="shared" si="24"/>
        <v>April</v>
      </c>
      <c r="C120">
        <f t="shared" si="25"/>
        <v>18</v>
      </c>
      <c r="D120" t="s">
        <v>21</v>
      </c>
      <c r="E120">
        <v>2.73</v>
      </c>
      <c r="F120">
        <v>5.97</v>
      </c>
      <c r="G120">
        <v>1.19</v>
      </c>
      <c r="H120">
        <v>4.8099999999999996</v>
      </c>
      <c r="I120">
        <v>2.54</v>
      </c>
      <c r="J120">
        <v>0.87</v>
      </c>
      <c r="K120">
        <v>1.9</v>
      </c>
      <c r="L120">
        <v>1</v>
      </c>
      <c r="M120">
        <f t="shared" si="26"/>
        <v>7</v>
      </c>
      <c r="N120">
        <f t="shared" si="27"/>
        <v>0.83142857142857152</v>
      </c>
      <c r="O120">
        <f t="shared" si="28"/>
        <v>5.82</v>
      </c>
      <c r="P120">
        <f t="shared" si="29"/>
        <v>8.2199999999999989</v>
      </c>
      <c r="Q120">
        <f t="shared" si="30"/>
        <v>2.3860000000000001</v>
      </c>
      <c r="R120">
        <f t="shared" si="31"/>
        <v>0.41452991452991456</v>
      </c>
    </row>
    <row r="121" spans="1:18" x14ac:dyDescent="0.3">
      <c r="A121">
        <v>45777</v>
      </c>
      <c r="B121" t="str">
        <f t="shared" si="24"/>
        <v>April</v>
      </c>
      <c r="C121">
        <f t="shared" si="25"/>
        <v>18</v>
      </c>
      <c r="D121" t="s">
        <v>15</v>
      </c>
      <c r="E121">
        <v>3.8</v>
      </c>
      <c r="F121">
        <v>5.38</v>
      </c>
      <c r="G121">
        <v>1.99</v>
      </c>
      <c r="H121">
        <v>1.83</v>
      </c>
      <c r="I121">
        <v>1.65</v>
      </c>
      <c r="J121">
        <v>0.54</v>
      </c>
      <c r="K121">
        <v>1.0900000000000001</v>
      </c>
      <c r="L121">
        <v>2</v>
      </c>
      <c r="M121">
        <f t="shared" si="26"/>
        <v>7</v>
      </c>
      <c r="N121">
        <f t="shared" si="27"/>
        <v>0.98285714285714287</v>
      </c>
      <c r="O121">
        <f t="shared" si="28"/>
        <v>6.88</v>
      </c>
      <c r="P121">
        <f t="shared" si="29"/>
        <v>4.0199999999999996</v>
      </c>
      <c r="Q121">
        <f t="shared" si="30"/>
        <v>3.1840000000000002</v>
      </c>
      <c r="R121">
        <f t="shared" si="31"/>
        <v>0.63119266055045875</v>
      </c>
    </row>
    <row r="122" spans="1:18" x14ac:dyDescent="0.3">
      <c r="A122">
        <v>45778</v>
      </c>
      <c r="B122" t="str">
        <f t="shared" si="24"/>
        <v>May</v>
      </c>
      <c r="C122">
        <f t="shared" si="25"/>
        <v>18</v>
      </c>
      <c r="D122" t="s">
        <v>16</v>
      </c>
      <c r="E122">
        <v>1.81</v>
      </c>
      <c r="F122">
        <v>6.25</v>
      </c>
      <c r="G122">
        <v>7.0000000000000007E-2</v>
      </c>
      <c r="H122">
        <v>3.49</v>
      </c>
      <c r="I122">
        <v>2.72</v>
      </c>
      <c r="J122">
        <v>0.27</v>
      </c>
      <c r="K122">
        <v>1.59</v>
      </c>
      <c r="L122">
        <v>5</v>
      </c>
      <c r="M122">
        <f t="shared" si="26"/>
        <v>7</v>
      </c>
      <c r="N122">
        <f t="shared" si="27"/>
        <v>0.49571428571428572</v>
      </c>
      <c r="O122">
        <f t="shared" si="28"/>
        <v>3.47</v>
      </c>
      <c r="P122">
        <f t="shared" si="29"/>
        <v>6.48</v>
      </c>
      <c r="Q122">
        <f t="shared" si="30"/>
        <v>1.992</v>
      </c>
      <c r="R122">
        <f t="shared" si="31"/>
        <v>0.34874371859296482</v>
      </c>
    </row>
    <row r="123" spans="1:18" x14ac:dyDescent="0.3">
      <c r="A123">
        <v>45779</v>
      </c>
      <c r="B123" t="str">
        <f t="shared" si="24"/>
        <v>May</v>
      </c>
      <c r="C123">
        <f t="shared" si="25"/>
        <v>18</v>
      </c>
      <c r="D123" t="s">
        <v>17</v>
      </c>
      <c r="E123">
        <v>3.31</v>
      </c>
      <c r="F123">
        <v>7.06</v>
      </c>
      <c r="G123">
        <v>1.69</v>
      </c>
      <c r="H123">
        <v>4.25</v>
      </c>
      <c r="I123">
        <v>0.84</v>
      </c>
      <c r="J123">
        <v>1.84</v>
      </c>
      <c r="K123">
        <v>0.94</v>
      </c>
      <c r="L123">
        <v>10</v>
      </c>
      <c r="M123">
        <f t="shared" si="26"/>
        <v>7</v>
      </c>
      <c r="N123">
        <f t="shared" si="27"/>
        <v>0.84857142857142853</v>
      </c>
      <c r="O123">
        <f t="shared" si="28"/>
        <v>5.9399999999999995</v>
      </c>
      <c r="P123">
        <f t="shared" si="29"/>
        <v>6.93</v>
      </c>
      <c r="Q123">
        <f t="shared" si="30"/>
        <v>3.2710000000000004</v>
      </c>
      <c r="R123">
        <f t="shared" si="31"/>
        <v>0.46153846153846151</v>
      </c>
    </row>
    <row r="124" spans="1:18" x14ac:dyDescent="0.3">
      <c r="A124">
        <v>45780</v>
      </c>
      <c r="B124" t="str">
        <f t="shared" si="24"/>
        <v>May</v>
      </c>
      <c r="C124">
        <f t="shared" si="25"/>
        <v>18</v>
      </c>
      <c r="D124" t="s">
        <v>18</v>
      </c>
      <c r="E124">
        <v>4.33</v>
      </c>
      <c r="F124">
        <v>7.14</v>
      </c>
      <c r="G124">
        <v>1.58</v>
      </c>
      <c r="H124">
        <v>2.89</v>
      </c>
      <c r="I124">
        <v>0.88</v>
      </c>
      <c r="J124">
        <v>0.42</v>
      </c>
      <c r="K124">
        <v>0.77</v>
      </c>
      <c r="L124">
        <v>4</v>
      </c>
      <c r="M124">
        <f t="shared" si="26"/>
        <v>5</v>
      </c>
      <c r="N124">
        <f t="shared" si="27"/>
        <v>1</v>
      </c>
      <c r="O124">
        <f t="shared" si="28"/>
        <v>6.68</v>
      </c>
      <c r="P124">
        <f t="shared" si="29"/>
        <v>4.1900000000000004</v>
      </c>
      <c r="Q124">
        <f t="shared" si="30"/>
        <v>3.8130000000000002</v>
      </c>
      <c r="R124">
        <f t="shared" si="31"/>
        <v>0.61453541858325655</v>
      </c>
    </row>
    <row r="125" spans="1:18" x14ac:dyDescent="0.3">
      <c r="A125">
        <v>45781</v>
      </c>
      <c r="B125" t="str">
        <f t="shared" si="24"/>
        <v>May</v>
      </c>
      <c r="C125">
        <f t="shared" si="25"/>
        <v>18</v>
      </c>
      <c r="D125" t="s">
        <v>19</v>
      </c>
      <c r="E125">
        <v>3.54</v>
      </c>
      <c r="F125">
        <v>8.9</v>
      </c>
      <c r="G125">
        <v>0.91</v>
      </c>
      <c r="H125">
        <v>2.44</v>
      </c>
      <c r="I125">
        <v>0.03</v>
      </c>
      <c r="J125">
        <v>1.59</v>
      </c>
      <c r="K125">
        <v>1.18</v>
      </c>
      <c r="L125">
        <v>2</v>
      </c>
      <c r="M125">
        <f t="shared" si="26"/>
        <v>5</v>
      </c>
      <c r="N125">
        <f t="shared" si="27"/>
        <v>1</v>
      </c>
      <c r="O125">
        <f t="shared" si="28"/>
        <v>5.63</v>
      </c>
      <c r="P125">
        <f t="shared" si="29"/>
        <v>4.0599999999999996</v>
      </c>
      <c r="Q125">
        <f t="shared" si="30"/>
        <v>4.0210000000000008</v>
      </c>
      <c r="R125">
        <f t="shared" si="31"/>
        <v>0.58101135190918474</v>
      </c>
    </row>
    <row r="126" spans="1:18" x14ac:dyDescent="0.3">
      <c r="A126">
        <v>45782</v>
      </c>
      <c r="B126" t="str">
        <f t="shared" si="24"/>
        <v>May</v>
      </c>
      <c r="C126">
        <f t="shared" si="25"/>
        <v>19</v>
      </c>
      <c r="D126" t="s">
        <v>20</v>
      </c>
      <c r="E126">
        <v>1.1499999999999999</v>
      </c>
      <c r="F126">
        <v>5.8</v>
      </c>
      <c r="G126">
        <v>1.87</v>
      </c>
      <c r="H126">
        <v>3.74</v>
      </c>
      <c r="I126">
        <v>2.63</v>
      </c>
      <c r="J126">
        <v>0.28000000000000003</v>
      </c>
      <c r="K126">
        <v>0.81</v>
      </c>
      <c r="L126">
        <v>2</v>
      </c>
      <c r="M126">
        <f t="shared" si="26"/>
        <v>7</v>
      </c>
      <c r="N126">
        <f t="shared" si="27"/>
        <v>0.54714285714285715</v>
      </c>
      <c r="O126">
        <f t="shared" si="28"/>
        <v>3.83</v>
      </c>
      <c r="P126">
        <f t="shared" si="29"/>
        <v>6.65</v>
      </c>
      <c r="Q126">
        <f t="shared" si="30"/>
        <v>1.9370000000000003</v>
      </c>
      <c r="R126">
        <f t="shared" si="31"/>
        <v>0.36545801526717558</v>
      </c>
    </row>
    <row r="127" spans="1:18" x14ac:dyDescent="0.3">
      <c r="A127">
        <v>45783</v>
      </c>
      <c r="B127" t="str">
        <f t="shared" si="24"/>
        <v>May</v>
      </c>
      <c r="C127">
        <f t="shared" si="25"/>
        <v>19</v>
      </c>
      <c r="D127" t="s">
        <v>21</v>
      </c>
      <c r="E127">
        <v>3.47</v>
      </c>
      <c r="F127">
        <v>8.3699999999999992</v>
      </c>
      <c r="G127">
        <v>1.01</v>
      </c>
      <c r="H127">
        <v>2.5299999999999998</v>
      </c>
      <c r="I127">
        <v>2.61</v>
      </c>
      <c r="J127">
        <v>1.89</v>
      </c>
      <c r="K127">
        <v>0.8</v>
      </c>
      <c r="L127">
        <v>3</v>
      </c>
      <c r="M127">
        <f t="shared" si="26"/>
        <v>7</v>
      </c>
      <c r="N127">
        <f t="shared" si="27"/>
        <v>0.75428571428571434</v>
      </c>
      <c r="O127">
        <f t="shared" si="28"/>
        <v>5.28</v>
      </c>
      <c r="P127">
        <f t="shared" si="29"/>
        <v>7.0299999999999994</v>
      </c>
      <c r="Q127">
        <f t="shared" si="30"/>
        <v>3.5869999999999997</v>
      </c>
      <c r="R127">
        <f t="shared" si="31"/>
        <v>0.42891957757920396</v>
      </c>
    </row>
    <row r="128" spans="1:18" x14ac:dyDescent="0.3">
      <c r="A128">
        <v>45784</v>
      </c>
      <c r="B128" t="str">
        <f t="shared" si="24"/>
        <v>May</v>
      </c>
      <c r="C128">
        <f t="shared" si="25"/>
        <v>19</v>
      </c>
      <c r="D128" t="s">
        <v>15</v>
      </c>
      <c r="E128">
        <v>4.3</v>
      </c>
      <c r="F128">
        <v>7.12</v>
      </c>
      <c r="G128">
        <v>0.11</v>
      </c>
      <c r="H128">
        <v>1.97</v>
      </c>
      <c r="I128">
        <v>0.56000000000000005</v>
      </c>
      <c r="J128">
        <v>1</v>
      </c>
      <c r="K128">
        <v>0.33</v>
      </c>
      <c r="L128">
        <v>4</v>
      </c>
      <c r="M128">
        <f t="shared" si="26"/>
        <v>7</v>
      </c>
      <c r="N128">
        <f t="shared" si="27"/>
        <v>0.67714285714285716</v>
      </c>
      <c r="O128">
        <f t="shared" si="28"/>
        <v>4.74</v>
      </c>
      <c r="P128">
        <f t="shared" si="29"/>
        <v>3.5300000000000002</v>
      </c>
      <c r="Q128">
        <f t="shared" si="30"/>
        <v>3.6249999999999996</v>
      </c>
      <c r="R128">
        <f t="shared" si="31"/>
        <v>0.57315598548972191</v>
      </c>
    </row>
    <row r="129" spans="1:18" x14ac:dyDescent="0.3">
      <c r="A129">
        <v>45785</v>
      </c>
      <c r="B129" t="str">
        <f t="shared" si="24"/>
        <v>May</v>
      </c>
      <c r="C129">
        <f t="shared" si="25"/>
        <v>19</v>
      </c>
      <c r="D129" t="s">
        <v>16</v>
      </c>
      <c r="E129">
        <v>1.64</v>
      </c>
      <c r="F129">
        <v>7.8</v>
      </c>
      <c r="G129">
        <v>0.61</v>
      </c>
      <c r="H129">
        <v>3.94</v>
      </c>
      <c r="I129">
        <v>0.64</v>
      </c>
      <c r="J129">
        <v>0.81</v>
      </c>
      <c r="K129">
        <v>0.78</v>
      </c>
      <c r="L129">
        <v>2</v>
      </c>
      <c r="M129">
        <f t="shared" si="26"/>
        <v>7</v>
      </c>
      <c r="N129">
        <f t="shared" si="27"/>
        <v>0.43285714285714283</v>
      </c>
      <c r="O129">
        <f t="shared" si="28"/>
        <v>3.03</v>
      </c>
      <c r="P129">
        <f t="shared" si="29"/>
        <v>5.3900000000000006</v>
      </c>
      <c r="Q129">
        <f t="shared" si="30"/>
        <v>2.6599999999999997</v>
      </c>
      <c r="R129">
        <f t="shared" si="31"/>
        <v>0.35985748218527314</v>
      </c>
    </row>
    <row r="130" spans="1:18" x14ac:dyDescent="0.3">
      <c r="A130">
        <v>45786</v>
      </c>
      <c r="B130" t="str">
        <f t="shared" ref="B130:B161" si="32">TEXT(A130,"MMMM")</f>
        <v>May</v>
      </c>
      <c r="C130">
        <f t="shared" ref="C130:C161" si="33">WEEKNUM(A130,2)</f>
        <v>19</v>
      </c>
      <c r="D130" t="s">
        <v>17</v>
      </c>
      <c r="E130">
        <v>3.95</v>
      </c>
      <c r="F130">
        <v>8.0299999999999994</v>
      </c>
      <c r="G130">
        <v>0.76</v>
      </c>
      <c r="H130">
        <v>1.97</v>
      </c>
      <c r="I130">
        <v>2.57</v>
      </c>
      <c r="J130">
        <v>1.81</v>
      </c>
      <c r="K130">
        <v>0.19</v>
      </c>
      <c r="L130">
        <v>10</v>
      </c>
      <c r="M130">
        <f t="shared" ref="M130:M161" si="34">IF(D130="Saturday",5,IF(D130="Sunday",5,7))</f>
        <v>7</v>
      </c>
      <c r="N130">
        <f t="shared" ref="N130:N161" si="35">MIN(O130/M130,1)</f>
        <v>0.70000000000000007</v>
      </c>
      <c r="O130">
        <f t="shared" ref="O130:O161" si="36">E130+K130+G130</f>
        <v>4.9000000000000004</v>
      </c>
      <c r="P130">
        <f t="shared" ref="P130:P161" si="37">H130+I130+J130</f>
        <v>6.35</v>
      </c>
      <c r="Q130">
        <f t="shared" ref="Q130:Q161" si="38">MAX(0, MIN(10, (E130*0.4 + F130*0.3 + G130*0.2) - (H130*0.1 + I130*0.1)))</f>
        <v>3.6869999999999998</v>
      </c>
      <c r="R130">
        <f t="shared" ref="R130:R161" si="39">O130/(O130+P130)</f>
        <v>0.43555555555555558</v>
      </c>
    </row>
    <row r="131" spans="1:18" x14ac:dyDescent="0.3">
      <c r="A131">
        <v>45787</v>
      </c>
      <c r="B131" t="str">
        <f t="shared" si="32"/>
        <v>May</v>
      </c>
      <c r="C131">
        <f t="shared" si="33"/>
        <v>19</v>
      </c>
      <c r="D131" t="s">
        <v>18</v>
      </c>
      <c r="E131">
        <v>3.78</v>
      </c>
      <c r="F131">
        <v>6.7</v>
      </c>
      <c r="G131">
        <v>0.88</v>
      </c>
      <c r="H131">
        <v>3.06</v>
      </c>
      <c r="I131">
        <v>2.81</v>
      </c>
      <c r="J131">
        <v>1.98</v>
      </c>
      <c r="K131">
        <v>0.55000000000000004</v>
      </c>
      <c r="L131">
        <v>1</v>
      </c>
      <c r="M131">
        <f t="shared" si="34"/>
        <v>5</v>
      </c>
      <c r="N131">
        <f t="shared" si="35"/>
        <v>1</v>
      </c>
      <c r="O131">
        <f t="shared" si="36"/>
        <v>5.21</v>
      </c>
      <c r="P131">
        <f t="shared" si="37"/>
        <v>7.85</v>
      </c>
      <c r="Q131">
        <f t="shared" si="38"/>
        <v>3.1109999999999998</v>
      </c>
      <c r="R131">
        <f t="shared" si="39"/>
        <v>0.39892802450229714</v>
      </c>
    </row>
    <row r="132" spans="1:18" x14ac:dyDescent="0.3">
      <c r="A132">
        <v>45788</v>
      </c>
      <c r="B132" t="str">
        <f t="shared" si="32"/>
        <v>May</v>
      </c>
      <c r="C132">
        <f t="shared" si="33"/>
        <v>19</v>
      </c>
      <c r="D132" t="s">
        <v>19</v>
      </c>
      <c r="E132">
        <v>1.17</v>
      </c>
      <c r="F132">
        <v>8.43</v>
      </c>
      <c r="G132">
        <v>1.57</v>
      </c>
      <c r="H132">
        <v>3.61</v>
      </c>
      <c r="I132">
        <v>2.4700000000000002</v>
      </c>
      <c r="J132">
        <v>1.23</v>
      </c>
      <c r="K132">
        <v>1.1100000000000001</v>
      </c>
      <c r="L132">
        <v>10</v>
      </c>
      <c r="M132">
        <f t="shared" si="34"/>
        <v>5</v>
      </c>
      <c r="N132">
        <f t="shared" si="35"/>
        <v>0.77000000000000013</v>
      </c>
      <c r="O132">
        <f t="shared" si="36"/>
        <v>3.8500000000000005</v>
      </c>
      <c r="P132">
        <f t="shared" si="37"/>
        <v>7.3100000000000005</v>
      </c>
      <c r="Q132">
        <f t="shared" si="38"/>
        <v>2.7029999999999998</v>
      </c>
      <c r="R132">
        <f t="shared" si="39"/>
        <v>0.34498207885304666</v>
      </c>
    </row>
    <row r="133" spans="1:18" x14ac:dyDescent="0.3">
      <c r="A133">
        <v>45789</v>
      </c>
      <c r="B133" t="str">
        <f t="shared" si="32"/>
        <v>May</v>
      </c>
      <c r="C133">
        <f t="shared" si="33"/>
        <v>20</v>
      </c>
      <c r="D133" t="s">
        <v>20</v>
      </c>
      <c r="E133">
        <v>5.76</v>
      </c>
      <c r="F133">
        <v>7.05</v>
      </c>
      <c r="G133">
        <v>1.8</v>
      </c>
      <c r="H133">
        <v>2.35</v>
      </c>
      <c r="I133">
        <v>1.3</v>
      </c>
      <c r="J133">
        <v>1.76</v>
      </c>
      <c r="K133">
        <v>1.49</v>
      </c>
      <c r="L133">
        <v>5</v>
      </c>
      <c r="M133">
        <f t="shared" si="34"/>
        <v>7</v>
      </c>
      <c r="N133">
        <f t="shared" si="35"/>
        <v>1</v>
      </c>
      <c r="O133">
        <f t="shared" si="36"/>
        <v>9.0500000000000007</v>
      </c>
      <c r="P133">
        <f t="shared" si="37"/>
        <v>5.41</v>
      </c>
      <c r="Q133">
        <f t="shared" si="38"/>
        <v>4.4139999999999997</v>
      </c>
      <c r="R133">
        <f t="shared" si="39"/>
        <v>0.62586445366528354</v>
      </c>
    </row>
    <row r="134" spans="1:18" x14ac:dyDescent="0.3">
      <c r="A134">
        <v>45790</v>
      </c>
      <c r="B134" t="str">
        <f t="shared" si="32"/>
        <v>May</v>
      </c>
      <c r="C134">
        <f t="shared" si="33"/>
        <v>20</v>
      </c>
      <c r="D134" t="s">
        <v>21</v>
      </c>
      <c r="E134">
        <v>1.23</v>
      </c>
      <c r="F134">
        <v>6.65</v>
      </c>
      <c r="G134">
        <v>0.35</v>
      </c>
      <c r="H134">
        <v>4.79</v>
      </c>
      <c r="I134">
        <v>2.98</v>
      </c>
      <c r="J134">
        <v>0.93</v>
      </c>
      <c r="K134">
        <v>1.69</v>
      </c>
      <c r="L134">
        <v>10</v>
      </c>
      <c r="M134">
        <f t="shared" si="34"/>
        <v>7</v>
      </c>
      <c r="N134">
        <f t="shared" si="35"/>
        <v>0.46714285714285714</v>
      </c>
      <c r="O134">
        <f t="shared" si="36"/>
        <v>3.27</v>
      </c>
      <c r="P134">
        <f t="shared" si="37"/>
        <v>8.6999999999999993</v>
      </c>
      <c r="Q134">
        <f t="shared" si="38"/>
        <v>1.7799999999999998</v>
      </c>
      <c r="R134">
        <f t="shared" si="39"/>
        <v>0.27318295739348375</v>
      </c>
    </row>
    <row r="135" spans="1:18" x14ac:dyDescent="0.3">
      <c r="A135">
        <v>45791</v>
      </c>
      <c r="B135" t="str">
        <f t="shared" si="32"/>
        <v>May</v>
      </c>
      <c r="C135">
        <f t="shared" si="33"/>
        <v>20</v>
      </c>
      <c r="D135" t="s">
        <v>15</v>
      </c>
      <c r="E135">
        <v>5.3</v>
      </c>
      <c r="F135">
        <v>6.54</v>
      </c>
      <c r="G135">
        <v>1.6</v>
      </c>
      <c r="H135">
        <v>2.75</v>
      </c>
      <c r="I135">
        <v>2.44</v>
      </c>
      <c r="J135">
        <v>0.12</v>
      </c>
      <c r="K135">
        <v>0.88</v>
      </c>
      <c r="L135">
        <v>10</v>
      </c>
      <c r="M135">
        <f t="shared" si="34"/>
        <v>7</v>
      </c>
      <c r="N135">
        <f t="shared" si="35"/>
        <v>1</v>
      </c>
      <c r="O135">
        <f t="shared" si="36"/>
        <v>7.7799999999999994</v>
      </c>
      <c r="P135">
        <f t="shared" si="37"/>
        <v>5.31</v>
      </c>
      <c r="Q135">
        <f t="shared" si="38"/>
        <v>3.883</v>
      </c>
      <c r="R135">
        <f t="shared" si="39"/>
        <v>0.59434682964094721</v>
      </c>
    </row>
    <row r="136" spans="1:18" x14ac:dyDescent="0.3">
      <c r="A136">
        <v>45792</v>
      </c>
      <c r="B136" t="str">
        <f t="shared" si="32"/>
        <v>May</v>
      </c>
      <c r="C136">
        <f t="shared" si="33"/>
        <v>20</v>
      </c>
      <c r="D136" t="s">
        <v>16</v>
      </c>
      <c r="E136">
        <v>3.71</v>
      </c>
      <c r="F136">
        <v>5.31</v>
      </c>
      <c r="G136">
        <v>0.97</v>
      </c>
      <c r="H136">
        <v>4.59</v>
      </c>
      <c r="I136">
        <v>2.52</v>
      </c>
      <c r="J136">
        <v>1.1499999999999999</v>
      </c>
      <c r="K136">
        <v>1.64</v>
      </c>
      <c r="L136">
        <v>4</v>
      </c>
      <c r="M136">
        <f t="shared" si="34"/>
        <v>7</v>
      </c>
      <c r="N136">
        <f t="shared" si="35"/>
        <v>0.9028571428571428</v>
      </c>
      <c r="O136">
        <f t="shared" si="36"/>
        <v>6.3199999999999994</v>
      </c>
      <c r="P136">
        <f t="shared" si="37"/>
        <v>8.26</v>
      </c>
      <c r="Q136">
        <f t="shared" si="38"/>
        <v>2.5599999999999996</v>
      </c>
      <c r="R136">
        <f t="shared" si="39"/>
        <v>0.43347050754458161</v>
      </c>
    </row>
    <row r="137" spans="1:18" x14ac:dyDescent="0.3">
      <c r="A137">
        <v>45793</v>
      </c>
      <c r="B137" t="str">
        <f t="shared" si="32"/>
        <v>May</v>
      </c>
      <c r="C137">
        <f t="shared" si="33"/>
        <v>20</v>
      </c>
      <c r="D137" t="s">
        <v>17</v>
      </c>
      <c r="E137">
        <v>4.0999999999999996</v>
      </c>
      <c r="F137">
        <v>6.58</v>
      </c>
      <c r="G137">
        <v>0.83</v>
      </c>
      <c r="H137">
        <v>1.96</v>
      </c>
      <c r="I137">
        <v>0.2</v>
      </c>
      <c r="J137">
        <v>0.95</v>
      </c>
      <c r="K137">
        <v>1.99</v>
      </c>
      <c r="L137">
        <v>9</v>
      </c>
      <c r="M137">
        <f t="shared" si="34"/>
        <v>7</v>
      </c>
      <c r="N137">
        <f t="shared" si="35"/>
        <v>0.98857142857142855</v>
      </c>
      <c r="O137">
        <f t="shared" si="36"/>
        <v>6.92</v>
      </c>
      <c r="P137">
        <f t="shared" si="37"/>
        <v>3.1100000000000003</v>
      </c>
      <c r="Q137">
        <f t="shared" si="38"/>
        <v>3.5639999999999996</v>
      </c>
      <c r="R137">
        <f t="shared" si="39"/>
        <v>0.68993020937188421</v>
      </c>
    </row>
    <row r="138" spans="1:18" x14ac:dyDescent="0.3">
      <c r="A138">
        <v>45794</v>
      </c>
      <c r="B138" t="str">
        <f t="shared" si="32"/>
        <v>May</v>
      </c>
      <c r="C138">
        <f t="shared" si="33"/>
        <v>20</v>
      </c>
      <c r="D138" t="s">
        <v>18</v>
      </c>
      <c r="E138">
        <v>4.5199999999999996</v>
      </c>
      <c r="F138">
        <v>7.15</v>
      </c>
      <c r="G138">
        <v>0.65</v>
      </c>
      <c r="H138">
        <v>2.58</v>
      </c>
      <c r="I138">
        <v>1.41</v>
      </c>
      <c r="J138">
        <v>0.74</v>
      </c>
      <c r="K138">
        <v>0.34</v>
      </c>
      <c r="L138">
        <v>4</v>
      </c>
      <c r="M138">
        <f t="shared" si="34"/>
        <v>5</v>
      </c>
      <c r="N138">
        <f t="shared" si="35"/>
        <v>1</v>
      </c>
      <c r="O138">
        <f t="shared" si="36"/>
        <v>5.51</v>
      </c>
      <c r="P138">
        <f t="shared" si="37"/>
        <v>4.7300000000000004</v>
      </c>
      <c r="Q138">
        <f t="shared" si="38"/>
        <v>3.6840000000000002</v>
      </c>
      <c r="R138">
        <f t="shared" si="39"/>
        <v>0.5380859375</v>
      </c>
    </row>
    <row r="139" spans="1:18" x14ac:dyDescent="0.3">
      <c r="A139">
        <v>45795</v>
      </c>
      <c r="B139" t="str">
        <f t="shared" si="32"/>
        <v>May</v>
      </c>
      <c r="C139">
        <f t="shared" si="33"/>
        <v>20</v>
      </c>
      <c r="D139" t="s">
        <v>19</v>
      </c>
      <c r="E139">
        <v>2.39</v>
      </c>
      <c r="F139">
        <v>7.36</v>
      </c>
      <c r="G139">
        <v>1.63</v>
      </c>
      <c r="H139">
        <v>1.72</v>
      </c>
      <c r="I139">
        <v>2.33</v>
      </c>
      <c r="J139">
        <v>0.99</v>
      </c>
      <c r="K139">
        <v>0.79</v>
      </c>
      <c r="L139">
        <v>10</v>
      </c>
      <c r="M139">
        <f t="shared" si="34"/>
        <v>5</v>
      </c>
      <c r="N139">
        <f t="shared" si="35"/>
        <v>0.96200000000000008</v>
      </c>
      <c r="O139">
        <f t="shared" si="36"/>
        <v>4.8100000000000005</v>
      </c>
      <c r="P139">
        <f t="shared" si="37"/>
        <v>5.04</v>
      </c>
      <c r="Q139">
        <f t="shared" si="38"/>
        <v>3.085</v>
      </c>
      <c r="R139">
        <f t="shared" si="39"/>
        <v>0.48832487309644668</v>
      </c>
    </row>
    <row r="140" spans="1:18" x14ac:dyDescent="0.3">
      <c r="A140">
        <v>45796</v>
      </c>
      <c r="B140" t="str">
        <f t="shared" si="32"/>
        <v>May</v>
      </c>
      <c r="C140">
        <f t="shared" si="33"/>
        <v>21</v>
      </c>
      <c r="D140" t="s">
        <v>20</v>
      </c>
      <c r="E140">
        <v>3.58</v>
      </c>
      <c r="F140">
        <v>8.02</v>
      </c>
      <c r="G140">
        <v>0.51</v>
      </c>
      <c r="H140">
        <v>4.2300000000000004</v>
      </c>
      <c r="I140">
        <v>0.06</v>
      </c>
      <c r="J140">
        <v>1.87</v>
      </c>
      <c r="K140">
        <v>1.24</v>
      </c>
      <c r="L140">
        <v>5</v>
      </c>
      <c r="M140">
        <f t="shared" si="34"/>
        <v>7</v>
      </c>
      <c r="N140">
        <f t="shared" si="35"/>
        <v>0.76142857142857145</v>
      </c>
      <c r="O140">
        <f t="shared" si="36"/>
        <v>5.33</v>
      </c>
      <c r="P140">
        <f t="shared" si="37"/>
        <v>6.16</v>
      </c>
      <c r="Q140">
        <f t="shared" si="38"/>
        <v>3.5110000000000001</v>
      </c>
      <c r="R140">
        <f t="shared" si="39"/>
        <v>0.46388163620539602</v>
      </c>
    </row>
    <row r="141" spans="1:18" x14ac:dyDescent="0.3">
      <c r="A141">
        <v>45797</v>
      </c>
      <c r="B141" t="str">
        <f t="shared" si="32"/>
        <v>May</v>
      </c>
      <c r="C141">
        <f t="shared" si="33"/>
        <v>21</v>
      </c>
      <c r="D141" t="s">
        <v>21</v>
      </c>
      <c r="E141">
        <v>4.6500000000000004</v>
      </c>
      <c r="F141">
        <v>5.17</v>
      </c>
      <c r="G141">
        <v>0.66</v>
      </c>
      <c r="H141">
        <v>3.8</v>
      </c>
      <c r="I141">
        <v>1.24</v>
      </c>
      <c r="J141">
        <v>1.1299999999999999</v>
      </c>
      <c r="K141">
        <v>1.65</v>
      </c>
      <c r="L141">
        <v>10</v>
      </c>
      <c r="M141">
        <f t="shared" si="34"/>
        <v>7</v>
      </c>
      <c r="N141">
        <f t="shared" si="35"/>
        <v>0.99428571428571444</v>
      </c>
      <c r="O141">
        <f t="shared" si="36"/>
        <v>6.9600000000000009</v>
      </c>
      <c r="P141">
        <f t="shared" si="37"/>
        <v>6.17</v>
      </c>
      <c r="Q141">
        <f t="shared" si="38"/>
        <v>3.0390000000000006</v>
      </c>
      <c r="R141">
        <f t="shared" si="39"/>
        <v>0.53008377760853009</v>
      </c>
    </row>
    <row r="142" spans="1:18" x14ac:dyDescent="0.3">
      <c r="A142">
        <v>45798</v>
      </c>
      <c r="B142" t="str">
        <f t="shared" si="32"/>
        <v>May</v>
      </c>
      <c r="C142">
        <f t="shared" si="33"/>
        <v>21</v>
      </c>
      <c r="D142" t="s">
        <v>15</v>
      </c>
      <c r="E142">
        <v>4.3499999999999996</v>
      </c>
      <c r="F142">
        <v>8.35</v>
      </c>
      <c r="G142">
        <v>1.95</v>
      </c>
      <c r="H142">
        <v>1.2</v>
      </c>
      <c r="I142">
        <v>2.29</v>
      </c>
      <c r="J142">
        <v>1.88</v>
      </c>
      <c r="K142">
        <v>0.76</v>
      </c>
      <c r="L142">
        <v>6</v>
      </c>
      <c r="M142">
        <f t="shared" si="34"/>
        <v>7</v>
      </c>
      <c r="N142">
        <f t="shared" si="35"/>
        <v>1</v>
      </c>
      <c r="O142">
        <f t="shared" si="36"/>
        <v>7.06</v>
      </c>
      <c r="P142">
        <f t="shared" si="37"/>
        <v>5.37</v>
      </c>
      <c r="Q142">
        <f t="shared" si="38"/>
        <v>4.2859999999999996</v>
      </c>
      <c r="R142">
        <f t="shared" si="39"/>
        <v>0.56798069187449718</v>
      </c>
    </row>
    <row r="143" spans="1:18" x14ac:dyDescent="0.3">
      <c r="A143">
        <v>45799</v>
      </c>
      <c r="B143" t="str">
        <f t="shared" si="32"/>
        <v>May</v>
      </c>
      <c r="C143">
        <f t="shared" si="33"/>
        <v>21</v>
      </c>
      <c r="D143" t="s">
        <v>16</v>
      </c>
      <c r="E143">
        <v>4.17</v>
      </c>
      <c r="F143">
        <v>5.82</v>
      </c>
      <c r="G143">
        <v>1.0900000000000001</v>
      </c>
      <c r="H143">
        <v>1.5</v>
      </c>
      <c r="I143">
        <v>2.94</v>
      </c>
      <c r="J143">
        <v>0.5</v>
      </c>
      <c r="K143">
        <v>1.84</v>
      </c>
      <c r="L143">
        <v>9</v>
      </c>
      <c r="M143">
        <f t="shared" si="34"/>
        <v>7</v>
      </c>
      <c r="N143">
        <f t="shared" si="35"/>
        <v>1</v>
      </c>
      <c r="O143">
        <f t="shared" si="36"/>
        <v>7.1</v>
      </c>
      <c r="P143">
        <f t="shared" si="37"/>
        <v>4.9399999999999995</v>
      </c>
      <c r="Q143">
        <f t="shared" si="38"/>
        <v>3.1880000000000002</v>
      </c>
      <c r="R143">
        <f t="shared" si="39"/>
        <v>0.5897009966777409</v>
      </c>
    </row>
    <row r="144" spans="1:18" x14ac:dyDescent="0.3">
      <c r="A144">
        <v>45800</v>
      </c>
      <c r="B144" t="str">
        <f t="shared" si="32"/>
        <v>May</v>
      </c>
      <c r="C144">
        <f t="shared" si="33"/>
        <v>21</v>
      </c>
      <c r="D144" t="s">
        <v>17</v>
      </c>
      <c r="E144">
        <v>5.67</v>
      </c>
      <c r="F144">
        <v>6.98</v>
      </c>
      <c r="G144">
        <v>0.42</v>
      </c>
      <c r="H144">
        <v>1.88</v>
      </c>
      <c r="I144">
        <v>2.19</v>
      </c>
      <c r="J144">
        <v>1.45</v>
      </c>
      <c r="K144">
        <v>0.75</v>
      </c>
      <c r="L144">
        <v>8</v>
      </c>
      <c r="M144">
        <f t="shared" si="34"/>
        <v>7</v>
      </c>
      <c r="N144">
        <f t="shared" si="35"/>
        <v>0.97714285714285709</v>
      </c>
      <c r="O144">
        <f t="shared" si="36"/>
        <v>6.84</v>
      </c>
      <c r="P144">
        <f t="shared" si="37"/>
        <v>5.5200000000000005</v>
      </c>
      <c r="Q144">
        <f t="shared" si="38"/>
        <v>4.0389999999999997</v>
      </c>
      <c r="R144">
        <f t="shared" si="39"/>
        <v>0.55339805825242716</v>
      </c>
    </row>
    <row r="145" spans="1:18" x14ac:dyDescent="0.3">
      <c r="A145">
        <v>45801</v>
      </c>
      <c r="B145" t="str">
        <f t="shared" si="32"/>
        <v>May</v>
      </c>
      <c r="C145">
        <f t="shared" si="33"/>
        <v>21</v>
      </c>
      <c r="D145" t="s">
        <v>18</v>
      </c>
      <c r="E145">
        <v>4.2300000000000004</v>
      </c>
      <c r="F145">
        <v>6.76</v>
      </c>
      <c r="G145">
        <v>1.66</v>
      </c>
      <c r="H145">
        <v>3.38</v>
      </c>
      <c r="I145">
        <v>2.54</v>
      </c>
      <c r="J145">
        <v>0.45</v>
      </c>
      <c r="K145">
        <v>0.31</v>
      </c>
      <c r="L145">
        <v>9</v>
      </c>
      <c r="M145">
        <f t="shared" si="34"/>
        <v>5</v>
      </c>
      <c r="N145">
        <f t="shared" si="35"/>
        <v>1</v>
      </c>
      <c r="O145">
        <f t="shared" si="36"/>
        <v>6.2</v>
      </c>
      <c r="P145">
        <f t="shared" si="37"/>
        <v>6.37</v>
      </c>
      <c r="Q145">
        <f t="shared" si="38"/>
        <v>3.4600000000000004</v>
      </c>
      <c r="R145">
        <f t="shared" si="39"/>
        <v>0.49323786793953861</v>
      </c>
    </row>
    <row r="146" spans="1:18" x14ac:dyDescent="0.3">
      <c r="A146">
        <v>45802</v>
      </c>
      <c r="B146" t="str">
        <f t="shared" si="32"/>
        <v>May</v>
      </c>
      <c r="C146">
        <f t="shared" si="33"/>
        <v>21</v>
      </c>
      <c r="D146" t="s">
        <v>19</v>
      </c>
      <c r="E146">
        <v>1.64</v>
      </c>
      <c r="F146">
        <v>7.74</v>
      </c>
      <c r="G146">
        <v>0.82</v>
      </c>
      <c r="H146">
        <v>3.44</v>
      </c>
      <c r="I146">
        <v>0.54</v>
      </c>
      <c r="J146">
        <v>0.45</v>
      </c>
      <c r="K146">
        <v>1.68</v>
      </c>
      <c r="L146">
        <v>6</v>
      </c>
      <c r="M146">
        <f t="shared" si="34"/>
        <v>5</v>
      </c>
      <c r="N146">
        <f t="shared" si="35"/>
        <v>0.82799999999999996</v>
      </c>
      <c r="O146">
        <f t="shared" si="36"/>
        <v>4.1399999999999997</v>
      </c>
      <c r="P146">
        <f t="shared" si="37"/>
        <v>4.43</v>
      </c>
      <c r="Q146">
        <f t="shared" si="38"/>
        <v>2.7440000000000002</v>
      </c>
      <c r="R146">
        <f t="shared" si="39"/>
        <v>0.48308051341890312</v>
      </c>
    </row>
    <row r="147" spans="1:18" x14ac:dyDescent="0.3">
      <c r="A147">
        <v>45803</v>
      </c>
      <c r="B147" t="str">
        <f t="shared" si="32"/>
        <v>May</v>
      </c>
      <c r="C147">
        <f t="shared" si="33"/>
        <v>22</v>
      </c>
      <c r="D147" t="s">
        <v>20</v>
      </c>
      <c r="E147">
        <v>2.85</v>
      </c>
      <c r="F147">
        <v>6.13</v>
      </c>
      <c r="G147">
        <v>0.34</v>
      </c>
      <c r="H147">
        <v>3.18</v>
      </c>
      <c r="I147">
        <v>2.4900000000000002</v>
      </c>
      <c r="J147">
        <v>0.28000000000000003</v>
      </c>
      <c r="K147">
        <v>1.47</v>
      </c>
      <c r="L147">
        <v>6</v>
      </c>
      <c r="M147">
        <f t="shared" si="34"/>
        <v>7</v>
      </c>
      <c r="N147">
        <f t="shared" si="35"/>
        <v>0.6657142857142857</v>
      </c>
      <c r="O147">
        <f t="shared" si="36"/>
        <v>4.66</v>
      </c>
      <c r="P147">
        <f t="shared" si="37"/>
        <v>5.95</v>
      </c>
      <c r="Q147">
        <f t="shared" si="38"/>
        <v>2.48</v>
      </c>
      <c r="R147">
        <f t="shared" si="39"/>
        <v>0.43920829406220552</v>
      </c>
    </row>
    <row r="148" spans="1:18" x14ac:dyDescent="0.3">
      <c r="A148">
        <v>45804</v>
      </c>
      <c r="B148" t="str">
        <f t="shared" si="32"/>
        <v>May</v>
      </c>
      <c r="C148">
        <f t="shared" si="33"/>
        <v>22</v>
      </c>
      <c r="D148" t="s">
        <v>21</v>
      </c>
      <c r="E148">
        <v>3.46</v>
      </c>
      <c r="F148">
        <v>8.89</v>
      </c>
      <c r="G148">
        <v>0.27</v>
      </c>
      <c r="H148">
        <v>2.1</v>
      </c>
      <c r="I148">
        <v>2.82</v>
      </c>
      <c r="J148">
        <v>1.7</v>
      </c>
      <c r="K148">
        <v>1.84</v>
      </c>
      <c r="L148">
        <v>7</v>
      </c>
      <c r="M148">
        <f t="shared" si="34"/>
        <v>7</v>
      </c>
      <c r="N148">
        <f t="shared" si="35"/>
        <v>0.79571428571428571</v>
      </c>
      <c r="O148">
        <f t="shared" si="36"/>
        <v>5.57</v>
      </c>
      <c r="P148">
        <f t="shared" si="37"/>
        <v>6.62</v>
      </c>
      <c r="Q148">
        <f t="shared" si="38"/>
        <v>3.6130000000000004</v>
      </c>
      <c r="R148">
        <f t="shared" si="39"/>
        <v>0.45693191140278916</v>
      </c>
    </row>
    <row r="149" spans="1:18" x14ac:dyDescent="0.3">
      <c r="A149">
        <v>45805</v>
      </c>
      <c r="B149" t="str">
        <f t="shared" si="32"/>
        <v>May</v>
      </c>
      <c r="C149">
        <f t="shared" si="33"/>
        <v>22</v>
      </c>
      <c r="D149" t="s">
        <v>15</v>
      </c>
      <c r="E149">
        <v>3.99</v>
      </c>
      <c r="F149">
        <v>7.28</v>
      </c>
      <c r="G149">
        <v>1.65</v>
      </c>
      <c r="H149">
        <v>3.01</v>
      </c>
      <c r="I149">
        <v>2.42</v>
      </c>
      <c r="J149">
        <v>1.22</v>
      </c>
      <c r="K149">
        <v>2</v>
      </c>
      <c r="L149">
        <v>2</v>
      </c>
      <c r="M149">
        <f t="shared" si="34"/>
        <v>7</v>
      </c>
      <c r="N149">
        <f t="shared" si="35"/>
        <v>1</v>
      </c>
      <c r="O149">
        <f t="shared" si="36"/>
        <v>7.6400000000000006</v>
      </c>
      <c r="P149">
        <f t="shared" si="37"/>
        <v>6.6499999999999995</v>
      </c>
      <c r="Q149">
        <f t="shared" si="38"/>
        <v>3.5670000000000002</v>
      </c>
      <c r="R149">
        <f t="shared" si="39"/>
        <v>0.53463960811756484</v>
      </c>
    </row>
    <row r="150" spans="1:18" x14ac:dyDescent="0.3">
      <c r="A150">
        <v>45806</v>
      </c>
      <c r="B150" t="str">
        <f t="shared" si="32"/>
        <v>May</v>
      </c>
      <c r="C150">
        <f t="shared" si="33"/>
        <v>22</v>
      </c>
      <c r="D150" t="s">
        <v>16</v>
      </c>
      <c r="E150">
        <v>2.62</v>
      </c>
      <c r="F150">
        <v>8.4</v>
      </c>
      <c r="G150">
        <v>1.43</v>
      </c>
      <c r="H150">
        <v>1.03</v>
      </c>
      <c r="I150">
        <v>0.38</v>
      </c>
      <c r="J150">
        <v>1.76</v>
      </c>
      <c r="K150">
        <v>1.57</v>
      </c>
      <c r="L150">
        <v>8</v>
      </c>
      <c r="M150">
        <f t="shared" si="34"/>
        <v>7</v>
      </c>
      <c r="N150">
        <f t="shared" si="35"/>
        <v>0.80285714285714282</v>
      </c>
      <c r="O150">
        <f t="shared" si="36"/>
        <v>5.62</v>
      </c>
      <c r="P150">
        <f t="shared" si="37"/>
        <v>3.17</v>
      </c>
      <c r="Q150">
        <f t="shared" si="38"/>
        <v>3.7130000000000001</v>
      </c>
      <c r="R150">
        <f t="shared" si="39"/>
        <v>0.63936291240045517</v>
      </c>
    </row>
    <row r="151" spans="1:18" x14ac:dyDescent="0.3">
      <c r="A151">
        <v>45807</v>
      </c>
      <c r="B151" t="str">
        <f t="shared" si="32"/>
        <v>May</v>
      </c>
      <c r="C151">
        <f t="shared" si="33"/>
        <v>22</v>
      </c>
      <c r="D151" t="s">
        <v>17</v>
      </c>
      <c r="E151">
        <v>3.15</v>
      </c>
      <c r="F151">
        <v>6.96</v>
      </c>
      <c r="G151">
        <v>1.65</v>
      </c>
      <c r="H151">
        <v>3.77</v>
      </c>
      <c r="I151">
        <v>1.47</v>
      </c>
      <c r="J151">
        <v>1.38</v>
      </c>
      <c r="K151">
        <v>0.88</v>
      </c>
      <c r="L151">
        <v>8</v>
      </c>
      <c r="M151">
        <f t="shared" si="34"/>
        <v>7</v>
      </c>
      <c r="N151">
        <f t="shared" si="35"/>
        <v>0.81142857142857139</v>
      </c>
      <c r="O151">
        <f t="shared" si="36"/>
        <v>5.68</v>
      </c>
      <c r="P151">
        <f t="shared" si="37"/>
        <v>6.62</v>
      </c>
      <c r="Q151">
        <f t="shared" si="38"/>
        <v>3.1539999999999999</v>
      </c>
      <c r="R151">
        <f t="shared" si="39"/>
        <v>0.46178861788617881</v>
      </c>
    </row>
    <row r="152" spans="1:18" x14ac:dyDescent="0.3">
      <c r="A152">
        <v>45808</v>
      </c>
      <c r="B152" t="str">
        <f t="shared" si="32"/>
        <v>May</v>
      </c>
      <c r="C152">
        <f t="shared" si="33"/>
        <v>22</v>
      </c>
      <c r="D152" t="s">
        <v>18</v>
      </c>
      <c r="E152">
        <v>5.27</v>
      </c>
      <c r="F152">
        <v>5.41</v>
      </c>
      <c r="G152">
        <v>1.6</v>
      </c>
      <c r="H152">
        <v>4.84</v>
      </c>
      <c r="I152">
        <v>0.13</v>
      </c>
      <c r="J152">
        <v>0.95</v>
      </c>
      <c r="K152">
        <v>1.34</v>
      </c>
      <c r="L152">
        <v>2</v>
      </c>
      <c r="M152">
        <f t="shared" si="34"/>
        <v>5</v>
      </c>
      <c r="N152">
        <f t="shared" si="35"/>
        <v>1</v>
      </c>
      <c r="O152">
        <f t="shared" si="36"/>
        <v>8.2099999999999991</v>
      </c>
      <c r="P152">
        <f t="shared" si="37"/>
        <v>5.92</v>
      </c>
      <c r="Q152">
        <f t="shared" si="38"/>
        <v>3.5540000000000003</v>
      </c>
      <c r="R152">
        <f t="shared" si="39"/>
        <v>0.581033262561925</v>
      </c>
    </row>
    <row r="153" spans="1:18" x14ac:dyDescent="0.3">
      <c r="A153">
        <v>45809</v>
      </c>
      <c r="B153" t="str">
        <f t="shared" si="32"/>
        <v>June</v>
      </c>
      <c r="C153">
        <f t="shared" si="33"/>
        <v>22</v>
      </c>
      <c r="D153" t="s">
        <v>19</v>
      </c>
      <c r="E153">
        <v>2.27</v>
      </c>
      <c r="F153">
        <v>7.96</v>
      </c>
      <c r="G153">
        <v>0.83</v>
      </c>
      <c r="H153">
        <v>1.63</v>
      </c>
      <c r="I153">
        <v>0.78</v>
      </c>
      <c r="J153">
        <v>0.95</v>
      </c>
      <c r="K153">
        <v>0.72</v>
      </c>
      <c r="L153">
        <v>4</v>
      </c>
      <c r="M153">
        <f t="shared" si="34"/>
        <v>5</v>
      </c>
      <c r="N153">
        <f t="shared" si="35"/>
        <v>0.76400000000000001</v>
      </c>
      <c r="O153">
        <f t="shared" si="36"/>
        <v>3.8200000000000003</v>
      </c>
      <c r="P153">
        <f t="shared" si="37"/>
        <v>3.3600000000000003</v>
      </c>
      <c r="Q153">
        <f t="shared" si="38"/>
        <v>3.2209999999999996</v>
      </c>
      <c r="R153">
        <f t="shared" si="39"/>
        <v>0.53203342618384397</v>
      </c>
    </row>
    <row r="154" spans="1:18" x14ac:dyDescent="0.3">
      <c r="A154">
        <v>45810</v>
      </c>
      <c r="B154" t="str">
        <f t="shared" si="32"/>
        <v>June</v>
      </c>
      <c r="C154">
        <f t="shared" si="33"/>
        <v>23</v>
      </c>
      <c r="D154" t="s">
        <v>20</v>
      </c>
      <c r="E154">
        <v>4.24</v>
      </c>
      <c r="F154">
        <v>6.77</v>
      </c>
      <c r="G154">
        <v>7.0000000000000007E-2</v>
      </c>
      <c r="H154">
        <v>4.9000000000000004</v>
      </c>
      <c r="I154">
        <v>1.92</v>
      </c>
      <c r="J154">
        <v>0.63</v>
      </c>
      <c r="K154">
        <v>0.23</v>
      </c>
      <c r="L154">
        <v>4</v>
      </c>
      <c r="M154">
        <f t="shared" si="34"/>
        <v>7</v>
      </c>
      <c r="N154">
        <f t="shared" si="35"/>
        <v>0.64857142857142869</v>
      </c>
      <c r="O154">
        <f t="shared" si="36"/>
        <v>4.5400000000000009</v>
      </c>
      <c r="P154">
        <f t="shared" si="37"/>
        <v>7.45</v>
      </c>
      <c r="Q154">
        <f t="shared" si="38"/>
        <v>3.0589999999999997</v>
      </c>
      <c r="R154">
        <f t="shared" si="39"/>
        <v>0.3786488740617181</v>
      </c>
    </row>
    <row r="155" spans="1:18" x14ac:dyDescent="0.3">
      <c r="A155">
        <v>45811</v>
      </c>
      <c r="B155" t="str">
        <f t="shared" si="32"/>
        <v>June</v>
      </c>
      <c r="C155">
        <f t="shared" si="33"/>
        <v>23</v>
      </c>
      <c r="D155" t="s">
        <v>21</v>
      </c>
      <c r="E155">
        <v>5.17</v>
      </c>
      <c r="F155">
        <v>6.25</v>
      </c>
      <c r="G155">
        <v>1.25</v>
      </c>
      <c r="H155">
        <v>3.36</v>
      </c>
      <c r="I155">
        <v>1.87</v>
      </c>
      <c r="J155">
        <v>0.28000000000000003</v>
      </c>
      <c r="K155">
        <v>0.15</v>
      </c>
      <c r="L155">
        <v>7</v>
      </c>
      <c r="M155">
        <f t="shared" si="34"/>
        <v>7</v>
      </c>
      <c r="N155">
        <f t="shared" si="35"/>
        <v>0.93857142857142861</v>
      </c>
      <c r="O155">
        <f t="shared" si="36"/>
        <v>6.57</v>
      </c>
      <c r="P155">
        <f t="shared" si="37"/>
        <v>5.5100000000000007</v>
      </c>
      <c r="Q155">
        <f t="shared" si="38"/>
        <v>3.6699999999999995</v>
      </c>
      <c r="R155">
        <f t="shared" si="39"/>
        <v>0.54387417218543044</v>
      </c>
    </row>
    <row r="156" spans="1:18" x14ac:dyDescent="0.3">
      <c r="A156">
        <v>45812</v>
      </c>
      <c r="B156" t="str">
        <f t="shared" si="32"/>
        <v>June</v>
      </c>
      <c r="C156">
        <f t="shared" si="33"/>
        <v>23</v>
      </c>
      <c r="D156" t="s">
        <v>15</v>
      </c>
      <c r="E156">
        <v>5.21</v>
      </c>
      <c r="F156">
        <v>5.3</v>
      </c>
      <c r="G156">
        <v>1.3</v>
      </c>
      <c r="H156">
        <v>4.6900000000000004</v>
      </c>
      <c r="I156">
        <v>0.68</v>
      </c>
      <c r="J156">
        <v>1.84</v>
      </c>
      <c r="K156">
        <v>1.93</v>
      </c>
      <c r="L156">
        <v>7</v>
      </c>
      <c r="M156">
        <f t="shared" si="34"/>
        <v>7</v>
      </c>
      <c r="N156">
        <f t="shared" si="35"/>
        <v>1</v>
      </c>
      <c r="O156">
        <f t="shared" si="36"/>
        <v>8.44</v>
      </c>
      <c r="P156">
        <f t="shared" si="37"/>
        <v>7.21</v>
      </c>
      <c r="Q156">
        <f t="shared" si="38"/>
        <v>3.3970000000000002</v>
      </c>
      <c r="R156">
        <f t="shared" si="39"/>
        <v>0.53929712460063894</v>
      </c>
    </row>
    <row r="157" spans="1:18" x14ac:dyDescent="0.3">
      <c r="A157">
        <v>45813</v>
      </c>
      <c r="B157" t="str">
        <f t="shared" si="32"/>
        <v>June</v>
      </c>
      <c r="C157">
        <f t="shared" si="33"/>
        <v>23</v>
      </c>
      <c r="D157" t="s">
        <v>16</v>
      </c>
      <c r="E157">
        <v>2.62</v>
      </c>
      <c r="F157">
        <v>7.7</v>
      </c>
      <c r="G157">
        <v>1.3</v>
      </c>
      <c r="H157">
        <v>3.34</v>
      </c>
      <c r="I157">
        <v>0.97</v>
      </c>
      <c r="J157">
        <v>1.32</v>
      </c>
      <c r="K157">
        <v>0.01</v>
      </c>
      <c r="L157">
        <v>1</v>
      </c>
      <c r="M157">
        <f t="shared" si="34"/>
        <v>7</v>
      </c>
      <c r="N157">
        <f t="shared" si="35"/>
        <v>0.56142857142857139</v>
      </c>
      <c r="O157">
        <f t="shared" si="36"/>
        <v>3.9299999999999997</v>
      </c>
      <c r="P157">
        <f t="shared" si="37"/>
        <v>5.63</v>
      </c>
      <c r="Q157">
        <f t="shared" si="38"/>
        <v>3.1870000000000003</v>
      </c>
      <c r="R157">
        <f t="shared" si="39"/>
        <v>0.41108786610878661</v>
      </c>
    </row>
    <row r="158" spans="1:18" x14ac:dyDescent="0.3">
      <c r="A158">
        <v>45814</v>
      </c>
      <c r="B158" t="str">
        <f t="shared" si="32"/>
        <v>June</v>
      </c>
      <c r="C158">
        <f t="shared" si="33"/>
        <v>23</v>
      </c>
      <c r="D158" t="s">
        <v>17</v>
      </c>
      <c r="E158">
        <v>5.62</v>
      </c>
      <c r="F158">
        <v>6.16</v>
      </c>
      <c r="G158">
        <v>1.06</v>
      </c>
      <c r="H158">
        <v>3.69</v>
      </c>
      <c r="I158">
        <v>0.4</v>
      </c>
      <c r="J158">
        <v>0.54</v>
      </c>
      <c r="K158">
        <v>1.05</v>
      </c>
      <c r="L158">
        <v>3</v>
      </c>
      <c r="M158">
        <f t="shared" si="34"/>
        <v>7</v>
      </c>
      <c r="N158">
        <f t="shared" si="35"/>
        <v>1</v>
      </c>
      <c r="O158">
        <f t="shared" si="36"/>
        <v>7.73</v>
      </c>
      <c r="P158">
        <f t="shared" si="37"/>
        <v>4.63</v>
      </c>
      <c r="Q158">
        <f t="shared" si="38"/>
        <v>3.899</v>
      </c>
      <c r="R158">
        <f t="shared" si="39"/>
        <v>0.62540453074433666</v>
      </c>
    </row>
    <row r="159" spans="1:18" x14ac:dyDescent="0.3">
      <c r="A159">
        <v>45815</v>
      </c>
      <c r="B159" t="str">
        <f t="shared" si="32"/>
        <v>June</v>
      </c>
      <c r="C159">
        <f t="shared" si="33"/>
        <v>23</v>
      </c>
      <c r="D159" t="s">
        <v>18</v>
      </c>
      <c r="E159">
        <v>3.22</v>
      </c>
      <c r="F159">
        <v>5.45</v>
      </c>
      <c r="G159">
        <v>0.62</v>
      </c>
      <c r="H159">
        <v>2.12</v>
      </c>
      <c r="I159">
        <v>1.94</v>
      </c>
      <c r="J159">
        <v>0.11</v>
      </c>
      <c r="K159">
        <v>1.48</v>
      </c>
      <c r="L159">
        <v>10</v>
      </c>
      <c r="M159">
        <f t="shared" si="34"/>
        <v>5</v>
      </c>
      <c r="N159">
        <f t="shared" si="35"/>
        <v>1</v>
      </c>
      <c r="O159">
        <f t="shared" si="36"/>
        <v>5.32</v>
      </c>
      <c r="P159">
        <f t="shared" si="37"/>
        <v>4.1700000000000008</v>
      </c>
      <c r="Q159">
        <f t="shared" si="38"/>
        <v>2.641</v>
      </c>
      <c r="R159">
        <f t="shared" si="39"/>
        <v>0.56059009483667011</v>
      </c>
    </row>
    <row r="160" spans="1:18" x14ac:dyDescent="0.3">
      <c r="A160">
        <v>45816</v>
      </c>
      <c r="B160" t="str">
        <f t="shared" si="32"/>
        <v>June</v>
      </c>
      <c r="C160">
        <f t="shared" si="33"/>
        <v>23</v>
      </c>
      <c r="D160" t="s">
        <v>19</v>
      </c>
      <c r="E160">
        <v>5.97</v>
      </c>
      <c r="F160">
        <v>8.4</v>
      </c>
      <c r="G160">
        <v>1.17</v>
      </c>
      <c r="H160">
        <v>4.25</v>
      </c>
      <c r="I160">
        <v>2.4900000000000002</v>
      </c>
      <c r="J160">
        <v>1.43</v>
      </c>
      <c r="K160">
        <v>0.37</v>
      </c>
      <c r="L160">
        <v>4</v>
      </c>
      <c r="M160">
        <f t="shared" si="34"/>
        <v>5</v>
      </c>
      <c r="N160">
        <f t="shared" si="35"/>
        <v>1</v>
      </c>
      <c r="O160">
        <f t="shared" si="36"/>
        <v>7.51</v>
      </c>
      <c r="P160">
        <f t="shared" si="37"/>
        <v>8.17</v>
      </c>
      <c r="Q160">
        <f t="shared" si="38"/>
        <v>4.4679999999999991</v>
      </c>
      <c r="R160">
        <f t="shared" si="39"/>
        <v>0.47895408163265307</v>
      </c>
    </row>
    <row r="161" spans="1:18" x14ac:dyDescent="0.3">
      <c r="A161">
        <v>45817</v>
      </c>
      <c r="B161" t="str">
        <f t="shared" si="32"/>
        <v>June</v>
      </c>
      <c r="C161">
        <f t="shared" si="33"/>
        <v>24</v>
      </c>
      <c r="D161" t="s">
        <v>20</v>
      </c>
      <c r="E161">
        <v>4.68</v>
      </c>
      <c r="F161">
        <v>7.31</v>
      </c>
      <c r="G161">
        <v>1.31</v>
      </c>
      <c r="H161">
        <v>1.31</v>
      </c>
      <c r="I161">
        <v>0.67</v>
      </c>
      <c r="J161">
        <v>1.48</v>
      </c>
      <c r="K161">
        <v>1.85</v>
      </c>
      <c r="L161">
        <v>10</v>
      </c>
      <c r="M161">
        <f t="shared" si="34"/>
        <v>7</v>
      </c>
      <c r="N161">
        <f t="shared" si="35"/>
        <v>1</v>
      </c>
      <c r="O161">
        <f t="shared" si="36"/>
        <v>7.84</v>
      </c>
      <c r="P161">
        <f t="shared" si="37"/>
        <v>3.46</v>
      </c>
      <c r="Q161">
        <f t="shared" si="38"/>
        <v>4.1289999999999996</v>
      </c>
      <c r="R161">
        <f t="shared" si="39"/>
        <v>0.69380530973451326</v>
      </c>
    </row>
    <row r="162" spans="1:18" x14ac:dyDescent="0.3">
      <c r="A162">
        <v>45818</v>
      </c>
      <c r="B162" t="str">
        <f t="shared" ref="B162:B180" si="40">TEXT(A162,"MMMM")</f>
        <v>June</v>
      </c>
      <c r="C162">
        <f t="shared" ref="C162:C180" si="41">WEEKNUM(A162,2)</f>
        <v>24</v>
      </c>
      <c r="D162" t="s">
        <v>21</v>
      </c>
      <c r="E162">
        <v>2.98</v>
      </c>
      <c r="F162">
        <v>5.57</v>
      </c>
      <c r="G162">
        <v>0.86</v>
      </c>
      <c r="H162">
        <v>1.39</v>
      </c>
      <c r="I162">
        <v>1.81</v>
      </c>
      <c r="J162">
        <v>0.03</v>
      </c>
      <c r="K162">
        <v>0.93</v>
      </c>
      <c r="L162">
        <v>5</v>
      </c>
      <c r="M162">
        <f t="shared" ref="M162:M181" si="42">IF(D162="Saturday",5,IF(D162="Sunday",5,7))</f>
        <v>7</v>
      </c>
      <c r="N162">
        <f t="shared" ref="N162:N180" si="43">MIN(O162/M162,1)</f>
        <v>0.68142857142857149</v>
      </c>
      <c r="O162">
        <f t="shared" ref="O162:O180" si="44">E162+K162+G162</f>
        <v>4.7700000000000005</v>
      </c>
      <c r="P162">
        <f t="shared" ref="P162:P180" si="45">H162+I162+J162</f>
        <v>3.23</v>
      </c>
      <c r="Q162">
        <f t="shared" ref="Q162:Q180" si="46">MAX(0, MIN(10, (E162*0.4 + F162*0.3 + G162*0.2) - (H162*0.1 + I162*0.1)))</f>
        <v>2.7150000000000003</v>
      </c>
      <c r="R162">
        <f t="shared" ref="R162:R180" si="47">O162/(O162+P162)</f>
        <v>0.59625000000000006</v>
      </c>
    </row>
    <row r="163" spans="1:18" x14ac:dyDescent="0.3">
      <c r="A163">
        <v>45819</v>
      </c>
      <c r="B163" t="str">
        <f t="shared" si="40"/>
        <v>June</v>
      </c>
      <c r="C163">
        <f t="shared" si="41"/>
        <v>24</v>
      </c>
      <c r="D163" t="s">
        <v>15</v>
      </c>
      <c r="E163">
        <v>5.04</v>
      </c>
      <c r="F163">
        <v>8.83</v>
      </c>
      <c r="G163">
        <v>1.68</v>
      </c>
      <c r="H163">
        <v>2.4300000000000002</v>
      </c>
      <c r="I163">
        <v>1.67</v>
      </c>
      <c r="J163">
        <v>0.66</v>
      </c>
      <c r="K163">
        <v>0.35</v>
      </c>
      <c r="L163">
        <v>1</v>
      </c>
      <c r="M163">
        <f t="shared" si="42"/>
        <v>7</v>
      </c>
      <c r="N163">
        <f t="shared" si="43"/>
        <v>1</v>
      </c>
      <c r="O163">
        <f t="shared" si="44"/>
        <v>7.0699999999999994</v>
      </c>
      <c r="P163">
        <f t="shared" si="45"/>
        <v>4.76</v>
      </c>
      <c r="Q163">
        <f t="shared" si="46"/>
        <v>4.5910000000000002</v>
      </c>
      <c r="R163">
        <f t="shared" si="47"/>
        <v>0.59763313609467461</v>
      </c>
    </row>
    <row r="164" spans="1:18" x14ac:dyDescent="0.3">
      <c r="A164">
        <v>45820</v>
      </c>
      <c r="B164" t="str">
        <f t="shared" si="40"/>
        <v>June</v>
      </c>
      <c r="C164">
        <f t="shared" si="41"/>
        <v>24</v>
      </c>
      <c r="D164" t="s">
        <v>16</v>
      </c>
      <c r="E164">
        <v>4.99</v>
      </c>
      <c r="F164">
        <v>5.2</v>
      </c>
      <c r="G164">
        <v>1.51</v>
      </c>
      <c r="H164">
        <v>1.76</v>
      </c>
      <c r="I164">
        <v>0.91</v>
      </c>
      <c r="J164">
        <v>1.51</v>
      </c>
      <c r="K164">
        <v>1.1000000000000001</v>
      </c>
      <c r="L164">
        <v>6</v>
      </c>
      <c r="M164">
        <f t="shared" si="42"/>
        <v>7</v>
      </c>
      <c r="N164">
        <f t="shared" si="43"/>
        <v>1</v>
      </c>
      <c r="O164">
        <f t="shared" si="44"/>
        <v>7.6</v>
      </c>
      <c r="P164">
        <f t="shared" si="45"/>
        <v>4.18</v>
      </c>
      <c r="Q164">
        <f t="shared" si="46"/>
        <v>3.5910000000000002</v>
      </c>
      <c r="R164">
        <f t="shared" si="47"/>
        <v>0.64516129032258063</v>
      </c>
    </row>
    <row r="165" spans="1:18" x14ac:dyDescent="0.3">
      <c r="A165">
        <v>45821</v>
      </c>
      <c r="B165" t="str">
        <f t="shared" si="40"/>
        <v>June</v>
      </c>
      <c r="C165">
        <f t="shared" si="41"/>
        <v>24</v>
      </c>
      <c r="D165" t="s">
        <v>17</v>
      </c>
      <c r="E165">
        <v>4.87</v>
      </c>
      <c r="F165">
        <v>5.3</v>
      </c>
      <c r="G165">
        <v>0.13</v>
      </c>
      <c r="H165">
        <v>1.34</v>
      </c>
      <c r="I165">
        <v>2.16</v>
      </c>
      <c r="J165">
        <v>0.36</v>
      </c>
      <c r="K165">
        <v>0.48</v>
      </c>
      <c r="L165">
        <v>4</v>
      </c>
      <c r="M165">
        <f t="shared" si="42"/>
        <v>7</v>
      </c>
      <c r="N165">
        <f t="shared" si="43"/>
        <v>0.78285714285714281</v>
      </c>
      <c r="O165">
        <f t="shared" si="44"/>
        <v>5.4799999999999995</v>
      </c>
      <c r="P165">
        <f t="shared" si="45"/>
        <v>3.86</v>
      </c>
      <c r="Q165">
        <f t="shared" si="46"/>
        <v>3.214</v>
      </c>
      <c r="R165">
        <f t="shared" si="47"/>
        <v>0.58672376873661669</v>
      </c>
    </row>
    <row r="166" spans="1:18" x14ac:dyDescent="0.3">
      <c r="A166">
        <v>45822</v>
      </c>
      <c r="B166" t="str">
        <f t="shared" si="40"/>
        <v>June</v>
      </c>
      <c r="C166">
        <f t="shared" si="41"/>
        <v>24</v>
      </c>
      <c r="D166" t="s">
        <v>18</v>
      </c>
      <c r="E166">
        <v>4.7</v>
      </c>
      <c r="F166">
        <v>6.8</v>
      </c>
      <c r="G166">
        <v>1.29</v>
      </c>
      <c r="H166">
        <v>3.37</v>
      </c>
      <c r="I166">
        <v>2.92</v>
      </c>
      <c r="J166">
        <v>1.02</v>
      </c>
      <c r="K166">
        <v>1.53</v>
      </c>
      <c r="L166">
        <v>7</v>
      </c>
      <c r="M166">
        <f t="shared" si="42"/>
        <v>5</v>
      </c>
      <c r="N166">
        <f t="shared" si="43"/>
        <v>1</v>
      </c>
      <c r="O166">
        <f t="shared" si="44"/>
        <v>7.5200000000000005</v>
      </c>
      <c r="P166">
        <f t="shared" si="45"/>
        <v>7.3100000000000005</v>
      </c>
      <c r="Q166">
        <f t="shared" si="46"/>
        <v>3.5489999999999999</v>
      </c>
      <c r="R166">
        <f t="shared" si="47"/>
        <v>0.50708024275118002</v>
      </c>
    </row>
    <row r="167" spans="1:18" x14ac:dyDescent="0.3">
      <c r="A167">
        <v>45823</v>
      </c>
      <c r="B167" t="str">
        <f t="shared" si="40"/>
        <v>June</v>
      </c>
      <c r="C167">
        <f t="shared" si="41"/>
        <v>24</v>
      </c>
      <c r="D167" t="s">
        <v>19</v>
      </c>
      <c r="E167">
        <v>4.16</v>
      </c>
      <c r="F167">
        <v>7.7</v>
      </c>
      <c r="G167">
        <v>1.21</v>
      </c>
      <c r="H167">
        <v>2.81</v>
      </c>
      <c r="I167">
        <v>1.89</v>
      </c>
      <c r="J167">
        <v>1.21</v>
      </c>
      <c r="K167">
        <v>0.25</v>
      </c>
      <c r="L167">
        <v>6</v>
      </c>
      <c r="M167">
        <f t="shared" si="42"/>
        <v>5</v>
      </c>
      <c r="N167">
        <f t="shared" si="43"/>
        <v>1</v>
      </c>
      <c r="O167">
        <f t="shared" si="44"/>
        <v>5.62</v>
      </c>
      <c r="P167">
        <f t="shared" si="45"/>
        <v>5.91</v>
      </c>
      <c r="Q167">
        <f t="shared" si="46"/>
        <v>3.746</v>
      </c>
      <c r="R167">
        <f t="shared" si="47"/>
        <v>0.48742411101474409</v>
      </c>
    </row>
    <row r="168" spans="1:18" x14ac:dyDescent="0.3">
      <c r="A168">
        <v>45824</v>
      </c>
      <c r="B168" t="str">
        <f t="shared" si="40"/>
        <v>June</v>
      </c>
      <c r="C168">
        <f t="shared" si="41"/>
        <v>25</v>
      </c>
      <c r="D168" t="s">
        <v>20</v>
      </c>
      <c r="E168">
        <v>5.57</v>
      </c>
      <c r="F168">
        <v>8.76</v>
      </c>
      <c r="G168">
        <v>1.24</v>
      </c>
      <c r="H168">
        <v>2.2599999999999998</v>
      </c>
      <c r="I168">
        <v>1.84</v>
      </c>
      <c r="J168">
        <v>1.21</v>
      </c>
      <c r="K168">
        <v>0.83</v>
      </c>
      <c r="L168">
        <v>10</v>
      </c>
      <c r="M168">
        <f t="shared" si="42"/>
        <v>7</v>
      </c>
      <c r="N168">
        <f t="shared" si="43"/>
        <v>1</v>
      </c>
      <c r="O168">
        <f t="shared" si="44"/>
        <v>7.6400000000000006</v>
      </c>
      <c r="P168">
        <f t="shared" si="45"/>
        <v>5.31</v>
      </c>
      <c r="Q168">
        <f t="shared" si="46"/>
        <v>4.694</v>
      </c>
      <c r="R168">
        <f t="shared" si="47"/>
        <v>0.58996138996139003</v>
      </c>
    </row>
    <row r="169" spans="1:18" x14ac:dyDescent="0.3">
      <c r="A169">
        <v>45825</v>
      </c>
      <c r="B169" t="str">
        <f t="shared" si="40"/>
        <v>June</v>
      </c>
      <c r="C169">
        <f t="shared" si="41"/>
        <v>25</v>
      </c>
      <c r="D169" t="s">
        <v>21</v>
      </c>
      <c r="E169">
        <v>1.76</v>
      </c>
      <c r="F169">
        <v>8.16</v>
      </c>
      <c r="G169">
        <v>1.64</v>
      </c>
      <c r="H169">
        <v>4.87</v>
      </c>
      <c r="I169">
        <v>1.95</v>
      </c>
      <c r="J169">
        <v>0.64</v>
      </c>
      <c r="K169">
        <v>0.5</v>
      </c>
      <c r="L169">
        <v>7</v>
      </c>
      <c r="M169">
        <f t="shared" si="42"/>
        <v>7</v>
      </c>
      <c r="N169">
        <f t="shared" si="43"/>
        <v>0.55714285714285705</v>
      </c>
      <c r="O169">
        <f t="shared" si="44"/>
        <v>3.8999999999999995</v>
      </c>
      <c r="P169">
        <f t="shared" si="45"/>
        <v>7.46</v>
      </c>
      <c r="Q169">
        <f t="shared" si="46"/>
        <v>2.798</v>
      </c>
      <c r="R169">
        <f t="shared" si="47"/>
        <v>0.34330985915492956</v>
      </c>
    </row>
    <row r="170" spans="1:18" x14ac:dyDescent="0.3">
      <c r="A170">
        <v>45826</v>
      </c>
      <c r="B170" t="str">
        <f t="shared" si="40"/>
        <v>June</v>
      </c>
      <c r="C170">
        <f t="shared" si="41"/>
        <v>25</v>
      </c>
      <c r="D170" t="s">
        <v>15</v>
      </c>
      <c r="E170">
        <v>4.8499999999999996</v>
      </c>
      <c r="F170">
        <v>5.79</v>
      </c>
      <c r="G170">
        <v>1.37</v>
      </c>
      <c r="H170">
        <v>1.9</v>
      </c>
      <c r="I170">
        <v>1.58</v>
      </c>
      <c r="J170">
        <v>1.99</v>
      </c>
      <c r="K170">
        <v>0.75</v>
      </c>
      <c r="L170">
        <v>5</v>
      </c>
      <c r="M170">
        <f t="shared" si="42"/>
        <v>7</v>
      </c>
      <c r="N170">
        <f t="shared" si="43"/>
        <v>0.99571428571428566</v>
      </c>
      <c r="O170">
        <f t="shared" si="44"/>
        <v>6.97</v>
      </c>
      <c r="P170">
        <f t="shared" si="45"/>
        <v>5.47</v>
      </c>
      <c r="Q170">
        <f t="shared" si="46"/>
        <v>3.6029999999999998</v>
      </c>
      <c r="R170">
        <f t="shared" si="47"/>
        <v>0.56028938906752412</v>
      </c>
    </row>
    <row r="171" spans="1:18" x14ac:dyDescent="0.3">
      <c r="A171">
        <v>45827</v>
      </c>
      <c r="B171" t="str">
        <f t="shared" si="40"/>
        <v>June</v>
      </c>
      <c r="C171">
        <f t="shared" si="41"/>
        <v>25</v>
      </c>
      <c r="D171" t="s">
        <v>16</v>
      </c>
      <c r="E171">
        <v>5.16</v>
      </c>
      <c r="F171">
        <v>6.1</v>
      </c>
      <c r="G171">
        <v>0.04</v>
      </c>
      <c r="H171">
        <v>3.71</v>
      </c>
      <c r="I171">
        <v>0.48</v>
      </c>
      <c r="J171">
        <v>1.1000000000000001</v>
      </c>
      <c r="K171">
        <v>1.53</v>
      </c>
      <c r="L171">
        <v>2</v>
      </c>
      <c r="M171">
        <f t="shared" si="42"/>
        <v>7</v>
      </c>
      <c r="N171">
        <f t="shared" si="43"/>
        <v>0.96142857142857152</v>
      </c>
      <c r="O171">
        <f t="shared" si="44"/>
        <v>6.73</v>
      </c>
      <c r="P171">
        <f t="shared" si="45"/>
        <v>5.2899999999999991</v>
      </c>
      <c r="Q171">
        <f t="shared" si="46"/>
        <v>3.4830000000000001</v>
      </c>
      <c r="R171">
        <f t="shared" si="47"/>
        <v>0.55990016638935114</v>
      </c>
    </row>
    <row r="172" spans="1:18" x14ac:dyDescent="0.3">
      <c r="A172">
        <v>45828</v>
      </c>
      <c r="B172" t="str">
        <f t="shared" si="40"/>
        <v>June</v>
      </c>
      <c r="C172">
        <f t="shared" si="41"/>
        <v>25</v>
      </c>
      <c r="D172" t="s">
        <v>17</v>
      </c>
      <c r="E172">
        <v>1.43</v>
      </c>
      <c r="F172">
        <v>8.74</v>
      </c>
      <c r="G172">
        <v>0.95</v>
      </c>
      <c r="H172">
        <v>2.62</v>
      </c>
      <c r="I172">
        <v>0.84</v>
      </c>
      <c r="J172">
        <v>1.94</v>
      </c>
      <c r="K172">
        <v>1.69</v>
      </c>
      <c r="L172">
        <v>6</v>
      </c>
      <c r="M172">
        <f t="shared" si="42"/>
        <v>7</v>
      </c>
      <c r="N172">
        <f t="shared" si="43"/>
        <v>0.58142857142857152</v>
      </c>
      <c r="O172">
        <f t="shared" si="44"/>
        <v>4.07</v>
      </c>
      <c r="P172">
        <f t="shared" si="45"/>
        <v>5.4</v>
      </c>
      <c r="Q172">
        <f t="shared" si="46"/>
        <v>3.0379999999999998</v>
      </c>
      <c r="R172">
        <f t="shared" si="47"/>
        <v>0.42977824709609291</v>
      </c>
    </row>
    <row r="173" spans="1:18" x14ac:dyDescent="0.3">
      <c r="A173">
        <v>45829</v>
      </c>
      <c r="B173" t="str">
        <f t="shared" si="40"/>
        <v>June</v>
      </c>
      <c r="C173">
        <f t="shared" si="41"/>
        <v>25</v>
      </c>
      <c r="D173" t="s">
        <v>18</v>
      </c>
      <c r="E173">
        <v>2.5099999999999998</v>
      </c>
      <c r="F173">
        <v>5.44</v>
      </c>
      <c r="G173">
        <v>1.62</v>
      </c>
      <c r="H173">
        <v>1.1499999999999999</v>
      </c>
      <c r="I173">
        <v>0.65</v>
      </c>
      <c r="J173">
        <v>0.42</v>
      </c>
      <c r="K173">
        <v>1.03</v>
      </c>
      <c r="L173">
        <v>1</v>
      </c>
      <c r="M173">
        <f t="shared" si="42"/>
        <v>5</v>
      </c>
      <c r="N173">
        <f t="shared" si="43"/>
        <v>1</v>
      </c>
      <c r="O173">
        <f t="shared" si="44"/>
        <v>5.16</v>
      </c>
      <c r="P173">
        <f t="shared" si="45"/>
        <v>2.2199999999999998</v>
      </c>
      <c r="Q173">
        <f t="shared" si="46"/>
        <v>2.78</v>
      </c>
      <c r="R173">
        <f t="shared" si="47"/>
        <v>0.69918699186991873</v>
      </c>
    </row>
    <row r="174" spans="1:18" x14ac:dyDescent="0.3">
      <c r="A174">
        <v>45830</v>
      </c>
      <c r="B174" t="str">
        <f t="shared" si="40"/>
        <v>June</v>
      </c>
      <c r="C174">
        <f t="shared" si="41"/>
        <v>25</v>
      </c>
      <c r="D174" t="s">
        <v>19</v>
      </c>
      <c r="E174">
        <v>5.03</v>
      </c>
      <c r="F174">
        <v>5.81</v>
      </c>
      <c r="G174">
        <v>1.77</v>
      </c>
      <c r="H174">
        <v>4.4000000000000004</v>
      </c>
      <c r="I174">
        <v>1.42</v>
      </c>
      <c r="J174">
        <v>0.22</v>
      </c>
      <c r="K174">
        <v>0.3</v>
      </c>
      <c r="L174">
        <v>6</v>
      </c>
      <c r="M174">
        <f t="shared" si="42"/>
        <v>5</v>
      </c>
      <c r="N174">
        <f t="shared" si="43"/>
        <v>1</v>
      </c>
      <c r="O174">
        <f t="shared" si="44"/>
        <v>7.1</v>
      </c>
      <c r="P174">
        <f t="shared" si="45"/>
        <v>6.04</v>
      </c>
      <c r="Q174">
        <f t="shared" si="46"/>
        <v>3.5270000000000001</v>
      </c>
      <c r="R174">
        <f t="shared" si="47"/>
        <v>0.54033485540334847</v>
      </c>
    </row>
    <row r="175" spans="1:18" x14ac:dyDescent="0.3">
      <c r="A175">
        <v>45831</v>
      </c>
      <c r="B175" t="str">
        <f t="shared" si="40"/>
        <v>June</v>
      </c>
      <c r="C175">
        <f t="shared" si="41"/>
        <v>26</v>
      </c>
      <c r="D175" t="s">
        <v>20</v>
      </c>
      <c r="E175">
        <v>4.26</v>
      </c>
      <c r="F175">
        <v>6.93</v>
      </c>
      <c r="G175">
        <v>0.59</v>
      </c>
      <c r="H175">
        <v>1.72</v>
      </c>
      <c r="I175">
        <v>0.45</v>
      </c>
      <c r="J175">
        <v>1.96</v>
      </c>
      <c r="K175">
        <v>1.1499999999999999</v>
      </c>
      <c r="L175">
        <v>6</v>
      </c>
      <c r="M175">
        <f t="shared" si="42"/>
        <v>7</v>
      </c>
      <c r="N175">
        <f t="shared" si="43"/>
        <v>0.8571428571428571</v>
      </c>
      <c r="O175">
        <f t="shared" si="44"/>
        <v>6</v>
      </c>
      <c r="P175">
        <f t="shared" si="45"/>
        <v>4.13</v>
      </c>
      <c r="Q175">
        <f t="shared" si="46"/>
        <v>3.6839999999999993</v>
      </c>
      <c r="R175">
        <f t="shared" si="47"/>
        <v>0.59230009871668321</v>
      </c>
    </row>
    <row r="176" spans="1:18" x14ac:dyDescent="0.3">
      <c r="A176">
        <v>45832</v>
      </c>
      <c r="B176" t="str">
        <f t="shared" si="40"/>
        <v>June</v>
      </c>
      <c r="C176">
        <f t="shared" si="41"/>
        <v>26</v>
      </c>
      <c r="D176" t="s">
        <v>21</v>
      </c>
      <c r="E176">
        <v>2.2599999999999998</v>
      </c>
      <c r="F176">
        <v>5.29</v>
      </c>
      <c r="G176">
        <v>0.03</v>
      </c>
      <c r="H176">
        <v>1.82</v>
      </c>
      <c r="I176">
        <v>1.21</v>
      </c>
      <c r="J176">
        <v>0.88</v>
      </c>
      <c r="K176">
        <v>0.3</v>
      </c>
      <c r="L176">
        <v>2</v>
      </c>
      <c r="M176">
        <f t="shared" si="42"/>
        <v>7</v>
      </c>
      <c r="N176">
        <f t="shared" si="43"/>
        <v>0.36999999999999994</v>
      </c>
      <c r="O176">
        <f t="shared" si="44"/>
        <v>2.5899999999999994</v>
      </c>
      <c r="P176">
        <f t="shared" si="45"/>
        <v>3.91</v>
      </c>
      <c r="Q176">
        <f t="shared" si="46"/>
        <v>2.1939999999999995</v>
      </c>
      <c r="R176">
        <f t="shared" si="47"/>
        <v>0.39846153846153837</v>
      </c>
    </row>
    <row r="177" spans="1:18" x14ac:dyDescent="0.3">
      <c r="A177">
        <v>45833</v>
      </c>
      <c r="B177" t="str">
        <f t="shared" si="40"/>
        <v>June</v>
      </c>
      <c r="C177">
        <f t="shared" si="41"/>
        <v>26</v>
      </c>
      <c r="D177" t="s">
        <v>15</v>
      </c>
      <c r="E177">
        <v>4.62</v>
      </c>
      <c r="F177">
        <v>7.16</v>
      </c>
      <c r="G177">
        <v>0.51</v>
      </c>
      <c r="H177">
        <v>4.17</v>
      </c>
      <c r="I177">
        <v>2.75</v>
      </c>
      <c r="J177">
        <v>0.41</v>
      </c>
      <c r="K177">
        <v>0.73</v>
      </c>
      <c r="L177">
        <v>4</v>
      </c>
      <c r="M177">
        <f t="shared" si="42"/>
        <v>7</v>
      </c>
      <c r="N177">
        <f t="shared" si="43"/>
        <v>0.83714285714285708</v>
      </c>
      <c r="O177">
        <f t="shared" si="44"/>
        <v>5.8599999999999994</v>
      </c>
      <c r="P177">
        <f t="shared" si="45"/>
        <v>7.33</v>
      </c>
      <c r="Q177">
        <f t="shared" si="46"/>
        <v>3.4060000000000006</v>
      </c>
      <c r="R177">
        <f t="shared" si="47"/>
        <v>0.44427596664139496</v>
      </c>
    </row>
    <row r="178" spans="1:18" x14ac:dyDescent="0.3">
      <c r="A178">
        <v>45834</v>
      </c>
      <c r="B178" t="str">
        <f t="shared" si="40"/>
        <v>June</v>
      </c>
      <c r="C178">
        <f t="shared" si="41"/>
        <v>26</v>
      </c>
      <c r="D178" t="s">
        <v>16</v>
      </c>
      <c r="E178">
        <v>4.16</v>
      </c>
      <c r="F178">
        <v>8.9700000000000006</v>
      </c>
      <c r="G178">
        <v>1.84</v>
      </c>
      <c r="H178">
        <v>4.58</v>
      </c>
      <c r="I178">
        <v>0.45</v>
      </c>
      <c r="J178">
        <v>0.26</v>
      </c>
      <c r="K178">
        <v>1.29</v>
      </c>
      <c r="L178">
        <v>6</v>
      </c>
      <c r="M178">
        <f t="shared" si="42"/>
        <v>7</v>
      </c>
      <c r="N178">
        <f t="shared" si="43"/>
        <v>1</v>
      </c>
      <c r="O178">
        <f t="shared" si="44"/>
        <v>7.29</v>
      </c>
      <c r="P178">
        <f t="shared" si="45"/>
        <v>5.29</v>
      </c>
      <c r="Q178">
        <f t="shared" si="46"/>
        <v>4.2200000000000006</v>
      </c>
      <c r="R178">
        <f t="shared" si="47"/>
        <v>0.57949125596184414</v>
      </c>
    </row>
    <row r="179" spans="1:18" x14ac:dyDescent="0.3">
      <c r="A179">
        <v>45835</v>
      </c>
      <c r="B179" t="str">
        <f t="shared" si="40"/>
        <v>June</v>
      </c>
      <c r="C179">
        <f t="shared" si="41"/>
        <v>26</v>
      </c>
      <c r="D179" t="s">
        <v>17</v>
      </c>
      <c r="E179">
        <v>3.45</v>
      </c>
      <c r="F179">
        <v>6.65</v>
      </c>
      <c r="G179">
        <v>0.69</v>
      </c>
      <c r="H179">
        <v>1.84</v>
      </c>
      <c r="I179">
        <v>2.68</v>
      </c>
      <c r="J179">
        <v>0.33</v>
      </c>
      <c r="K179">
        <v>1.73</v>
      </c>
      <c r="L179">
        <v>3</v>
      </c>
      <c r="M179">
        <f t="shared" si="42"/>
        <v>7</v>
      </c>
      <c r="N179">
        <f t="shared" si="43"/>
        <v>0.83857142857142841</v>
      </c>
      <c r="O179">
        <f t="shared" si="44"/>
        <v>5.8699999999999992</v>
      </c>
      <c r="P179">
        <f t="shared" si="45"/>
        <v>4.8500000000000005</v>
      </c>
      <c r="Q179">
        <f t="shared" si="46"/>
        <v>3.0609999999999999</v>
      </c>
      <c r="R179">
        <f t="shared" si="47"/>
        <v>0.5475746268656716</v>
      </c>
    </row>
    <row r="180" spans="1:18" x14ac:dyDescent="0.3">
      <c r="A180">
        <v>45836</v>
      </c>
      <c r="B180" t="str">
        <f t="shared" si="40"/>
        <v>June</v>
      </c>
      <c r="C180">
        <f t="shared" si="41"/>
        <v>26</v>
      </c>
      <c r="D180" t="s">
        <v>18</v>
      </c>
      <c r="E180">
        <v>3.79</v>
      </c>
      <c r="F180">
        <v>8.1199999999999992</v>
      </c>
      <c r="G180">
        <v>0.56000000000000005</v>
      </c>
      <c r="H180">
        <v>1.41</v>
      </c>
      <c r="I180">
        <v>1.29</v>
      </c>
      <c r="J180">
        <v>1.88</v>
      </c>
      <c r="K180">
        <v>1.9</v>
      </c>
      <c r="L180">
        <v>3</v>
      </c>
      <c r="M180">
        <f t="shared" si="42"/>
        <v>5</v>
      </c>
      <c r="N180">
        <f t="shared" si="43"/>
        <v>1</v>
      </c>
      <c r="O180">
        <f t="shared" si="44"/>
        <v>6.25</v>
      </c>
      <c r="P180">
        <f t="shared" si="45"/>
        <v>4.58</v>
      </c>
      <c r="Q180">
        <f t="shared" si="46"/>
        <v>3.7939999999999992</v>
      </c>
      <c r="R180">
        <f t="shared" si="47"/>
        <v>0.57710064635272396</v>
      </c>
    </row>
    <row r="181" spans="1:18" x14ac:dyDescent="0.3">
      <c r="A181">
        <v>45837</v>
      </c>
      <c r="B181" t="str">
        <f t="shared" ref="B181" si="48">TEXT(A181,"MMMM")</f>
        <v>June</v>
      </c>
      <c r="C181">
        <f t="shared" ref="C181" si="49">WEEKNUM(A181,2)</f>
        <v>26</v>
      </c>
      <c r="D181" t="s">
        <v>19</v>
      </c>
      <c r="E181">
        <v>4.68</v>
      </c>
      <c r="F181">
        <v>7.42</v>
      </c>
      <c r="G181">
        <v>1.01</v>
      </c>
      <c r="H181">
        <v>4.33</v>
      </c>
      <c r="I181">
        <v>2.67</v>
      </c>
      <c r="J181">
        <v>0.57999999999999996</v>
      </c>
      <c r="K181">
        <v>1.24</v>
      </c>
      <c r="L181">
        <v>10</v>
      </c>
      <c r="M181">
        <f t="shared" si="42"/>
        <v>5</v>
      </c>
      <c r="N181">
        <f t="shared" ref="N181" si="50">MIN(O181/M181,1)</f>
        <v>1</v>
      </c>
      <c r="O181">
        <f t="shared" ref="O181" si="51">E181+K181+G181</f>
        <v>6.93</v>
      </c>
      <c r="P181">
        <f t="shared" ref="P181" si="52">H181+I181+J181</f>
        <v>7.58</v>
      </c>
      <c r="Q181">
        <f t="shared" ref="Q181" si="53">MAX(0, MIN(10, (E181*0.4 + F181*0.3 + G181*0.2) - (H181*0.1 + I181*0.1)))</f>
        <v>3.5999999999999996</v>
      </c>
      <c r="R181">
        <f t="shared" ref="R181" si="54">O181/(O181+P181)</f>
        <v>0.47760165403170224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EA344-DB34-417E-9009-62AB72986859}">
  <dimension ref="A1"/>
  <sheetViews>
    <sheetView tabSelected="1" zoomScale="65" zoomScaleNormal="100" workbookViewId="0">
      <selection activeCell="F34" sqref="F34"/>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579A4-F68E-4F26-B321-3C16C56139A7}">
  <dimension ref="A1:R30"/>
  <sheetViews>
    <sheetView zoomScale="97" workbookViewId="0"/>
  </sheetViews>
  <sheetFormatPr defaultRowHeight="14.4" x14ac:dyDescent="0.3"/>
  <sheetData>
    <row r="1" spans="1:18" x14ac:dyDescent="0.3">
      <c r="A1" s="10"/>
      <c r="B1" s="10"/>
      <c r="C1" s="10"/>
      <c r="D1" s="10"/>
      <c r="E1" s="10"/>
      <c r="F1" s="10"/>
      <c r="G1" s="10"/>
      <c r="H1" s="10"/>
      <c r="I1" s="10"/>
      <c r="J1" s="10"/>
      <c r="K1" s="10"/>
      <c r="L1" s="10"/>
      <c r="M1" s="10"/>
      <c r="N1" s="10"/>
      <c r="O1" s="10"/>
      <c r="P1" s="10"/>
      <c r="Q1" s="10"/>
      <c r="R1" s="10"/>
    </row>
    <row r="2" spans="1:18" x14ac:dyDescent="0.3">
      <c r="A2" s="10"/>
      <c r="B2" s="10"/>
      <c r="C2" s="10"/>
      <c r="D2" s="10"/>
      <c r="E2" s="10"/>
      <c r="F2" s="10"/>
      <c r="G2" s="10"/>
      <c r="H2" s="10"/>
      <c r="I2" s="10"/>
      <c r="J2" s="10"/>
      <c r="K2" s="10"/>
      <c r="L2" s="10"/>
      <c r="M2" s="10"/>
      <c r="N2" s="10"/>
      <c r="O2" s="10"/>
      <c r="P2" s="10"/>
      <c r="Q2" s="10"/>
      <c r="R2" s="10"/>
    </row>
    <row r="3" spans="1:18" x14ac:dyDescent="0.3">
      <c r="A3" s="10"/>
      <c r="B3" s="10"/>
      <c r="C3" s="10"/>
      <c r="D3" s="10"/>
      <c r="E3" s="10"/>
      <c r="F3" s="10"/>
      <c r="G3" s="10"/>
      <c r="H3" s="10"/>
      <c r="I3" s="10"/>
      <c r="J3" s="10"/>
      <c r="K3" s="10"/>
      <c r="L3" s="10"/>
      <c r="M3" s="10"/>
      <c r="N3" s="10"/>
      <c r="O3" s="10"/>
      <c r="P3" s="10"/>
      <c r="Q3" s="10"/>
      <c r="R3" s="10"/>
    </row>
    <row r="4" spans="1:18" x14ac:dyDescent="0.3">
      <c r="A4" s="10"/>
      <c r="B4" s="10"/>
      <c r="C4" s="10"/>
      <c r="D4" s="10"/>
      <c r="E4" s="10"/>
      <c r="F4" s="10"/>
      <c r="G4" s="10"/>
      <c r="H4" s="10"/>
      <c r="I4" s="10"/>
      <c r="J4" s="10"/>
      <c r="K4" s="10"/>
      <c r="L4" s="10"/>
      <c r="M4" s="10"/>
      <c r="N4" s="10"/>
      <c r="O4" s="10"/>
      <c r="P4" s="10"/>
      <c r="Q4" s="10"/>
      <c r="R4" s="10"/>
    </row>
    <row r="5" spans="1:18" x14ac:dyDescent="0.3">
      <c r="A5" s="10"/>
      <c r="B5" s="10"/>
      <c r="C5" s="10"/>
      <c r="D5" s="10"/>
      <c r="E5" s="10"/>
      <c r="F5" s="10"/>
      <c r="G5" s="10"/>
      <c r="H5" s="10"/>
      <c r="I5" s="10"/>
      <c r="J5" s="10"/>
      <c r="K5" s="10"/>
      <c r="L5" s="10"/>
      <c r="M5" s="10"/>
      <c r="N5" s="10"/>
      <c r="O5" s="10"/>
      <c r="P5" s="10"/>
      <c r="Q5" s="10"/>
      <c r="R5" s="10"/>
    </row>
    <row r="6" spans="1:18" x14ac:dyDescent="0.3">
      <c r="A6" s="10"/>
      <c r="B6" s="10"/>
      <c r="C6" s="10"/>
      <c r="D6" s="10"/>
      <c r="E6" s="10"/>
      <c r="F6" s="10"/>
      <c r="G6" s="10"/>
      <c r="H6" s="10"/>
      <c r="I6" s="10"/>
      <c r="J6" s="10"/>
      <c r="K6" s="10"/>
      <c r="L6" s="10"/>
      <c r="M6" s="10"/>
      <c r="N6" s="10"/>
      <c r="O6" s="10"/>
      <c r="P6" s="10"/>
      <c r="Q6" s="10"/>
      <c r="R6" s="10"/>
    </row>
    <row r="7" spans="1:18" x14ac:dyDescent="0.3">
      <c r="A7" s="10"/>
      <c r="B7" s="10"/>
      <c r="C7" s="10"/>
      <c r="D7" s="10"/>
      <c r="E7" s="10"/>
      <c r="F7" s="10"/>
      <c r="G7" s="10"/>
      <c r="H7" s="10"/>
      <c r="I7" s="10"/>
      <c r="J7" s="10"/>
      <c r="K7" s="10"/>
      <c r="L7" s="10"/>
      <c r="M7" s="10"/>
      <c r="N7" s="10"/>
      <c r="O7" s="10"/>
      <c r="P7" s="10"/>
      <c r="Q7" s="10"/>
      <c r="R7" s="10"/>
    </row>
    <row r="8" spans="1:18" x14ac:dyDescent="0.3">
      <c r="A8" s="10"/>
      <c r="B8" s="10"/>
      <c r="C8" s="10"/>
      <c r="D8" s="10"/>
      <c r="E8" s="10"/>
      <c r="F8" s="10"/>
      <c r="G8" s="10"/>
      <c r="H8" s="10"/>
      <c r="I8" s="10"/>
      <c r="J8" s="10"/>
      <c r="K8" s="10"/>
      <c r="L8" s="10"/>
      <c r="M8" s="10"/>
      <c r="N8" s="10"/>
      <c r="O8" s="10"/>
      <c r="P8" s="10"/>
      <c r="Q8" s="10"/>
      <c r="R8" s="10"/>
    </row>
    <row r="9" spans="1:18" x14ac:dyDescent="0.3">
      <c r="A9" s="10"/>
      <c r="B9" s="10"/>
      <c r="C9" s="10"/>
      <c r="D9" s="10"/>
      <c r="E9" s="10"/>
      <c r="F9" s="10"/>
      <c r="G9" s="10"/>
      <c r="H9" s="10"/>
      <c r="I9" s="10"/>
      <c r="J9" s="10"/>
      <c r="K9" s="10"/>
      <c r="L9" s="10"/>
      <c r="M9" s="10"/>
      <c r="N9" s="10"/>
      <c r="O9" s="10"/>
      <c r="P9" s="10"/>
      <c r="Q9" s="10"/>
      <c r="R9" s="10"/>
    </row>
    <row r="10" spans="1:18" x14ac:dyDescent="0.3">
      <c r="A10" s="10"/>
      <c r="B10" s="10"/>
      <c r="C10" s="10"/>
      <c r="D10" s="10"/>
      <c r="E10" s="10"/>
      <c r="F10" s="10"/>
      <c r="G10" s="10"/>
      <c r="H10" s="10"/>
      <c r="I10" s="10"/>
      <c r="J10" s="10"/>
      <c r="K10" s="10"/>
      <c r="L10" s="10"/>
      <c r="M10" s="10"/>
      <c r="N10" s="10"/>
      <c r="O10" s="10"/>
      <c r="P10" s="10"/>
      <c r="Q10" s="10"/>
      <c r="R10" s="10"/>
    </row>
    <row r="11" spans="1:18" x14ac:dyDescent="0.3">
      <c r="A11" s="10"/>
      <c r="B11" s="10"/>
      <c r="C11" s="10"/>
      <c r="D11" s="10"/>
      <c r="E11" s="10"/>
      <c r="F11" s="10"/>
      <c r="G11" s="10"/>
      <c r="H11" s="10"/>
      <c r="I11" s="10"/>
      <c r="J11" s="10"/>
      <c r="K11" s="10"/>
      <c r="L11" s="10"/>
      <c r="M11" s="10"/>
      <c r="N11" s="10"/>
      <c r="O11" s="10"/>
      <c r="P11" s="10"/>
      <c r="Q11" s="10"/>
      <c r="R11" s="10"/>
    </row>
    <row r="12" spans="1:18" x14ac:dyDescent="0.3">
      <c r="A12" s="10"/>
      <c r="B12" s="10"/>
      <c r="C12" s="10"/>
      <c r="D12" s="10"/>
      <c r="E12" s="10"/>
      <c r="F12" s="10"/>
      <c r="G12" s="10"/>
      <c r="H12" s="10"/>
      <c r="I12" s="10"/>
      <c r="J12" s="10"/>
      <c r="K12" s="10"/>
      <c r="L12" s="10"/>
      <c r="M12" s="10"/>
      <c r="N12" s="10"/>
      <c r="O12" s="10"/>
      <c r="P12" s="10"/>
      <c r="Q12" s="10"/>
      <c r="R12" s="10"/>
    </row>
    <row r="13" spans="1:18" x14ac:dyDescent="0.3">
      <c r="A13" s="10"/>
      <c r="B13" s="10"/>
      <c r="C13" s="10"/>
      <c r="D13" s="10"/>
      <c r="E13" s="10"/>
      <c r="F13" s="10"/>
      <c r="G13" s="10"/>
      <c r="H13" s="10"/>
      <c r="I13" s="10"/>
      <c r="J13" s="10"/>
      <c r="K13" s="10"/>
      <c r="L13" s="10"/>
      <c r="M13" s="10"/>
      <c r="N13" s="10"/>
      <c r="O13" s="10"/>
      <c r="P13" s="10"/>
      <c r="Q13" s="10"/>
      <c r="R13" s="10"/>
    </row>
    <row r="14" spans="1:18" x14ac:dyDescent="0.3">
      <c r="A14" s="10"/>
      <c r="B14" s="10"/>
      <c r="C14" s="10"/>
      <c r="D14" s="10"/>
      <c r="E14" s="10"/>
      <c r="F14" s="10"/>
      <c r="G14" s="10"/>
      <c r="H14" s="10"/>
      <c r="I14" s="10"/>
      <c r="J14" s="10"/>
      <c r="K14" s="10"/>
      <c r="L14" s="10"/>
      <c r="M14" s="10"/>
      <c r="N14" s="10"/>
      <c r="O14" s="10"/>
      <c r="P14" s="10"/>
      <c r="Q14" s="10"/>
      <c r="R14" s="10"/>
    </row>
    <row r="15" spans="1:18" x14ac:dyDescent="0.3">
      <c r="A15" s="10"/>
      <c r="B15" s="10"/>
      <c r="C15" s="10"/>
      <c r="D15" s="10"/>
      <c r="E15" s="10"/>
      <c r="F15" s="10"/>
      <c r="G15" s="10"/>
      <c r="H15" s="10"/>
      <c r="I15" s="10"/>
      <c r="J15" s="10"/>
      <c r="K15" s="10"/>
      <c r="L15" s="10"/>
      <c r="M15" s="10"/>
      <c r="N15" s="10"/>
      <c r="O15" s="10"/>
      <c r="P15" s="10"/>
      <c r="Q15" s="10"/>
      <c r="R15" s="10"/>
    </row>
    <row r="16" spans="1:18" x14ac:dyDescent="0.3">
      <c r="A16" s="10"/>
      <c r="B16" s="10"/>
      <c r="C16" s="10"/>
      <c r="D16" s="10"/>
      <c r="E16" s="10"/>
      <c r="F16" s="10"/>
      <c r="G16" s="10"/>
      <c r="H16" s="10"/>
      <c r="I16" s="10"/>
      <c r="J16" s="10"/>
      <c r="K16" s="10"/>
      <c r="L16" s="10"/>
      <c r="M16" s="10"/>
      <c r="N16" s="10"/>
      <c r="O16" s="10"/>
      <c r="P16" s="10"/>
      <c r="Q16" s="10"/>
      <c r="R16" s="10"/>
    </row>
    <row r="17" spans="1:18" x14ac:dyDescent="0.3">
      <c r="A17" s="10"/>
      <c r="B17" s="10"/>
      <c r="C17" s="10"/>
      <c r="D17" s="10"/>
      <c r="E17" s="10"/>
      <c r="F17" s="10"/>
      <c r="G17" s="10"/>
      <c r="H17" s="10"/>
      <c r="I17" s="10"/>
      <c r="J17" s="10"/>
      <c r="K17" s="10"/>
      <c r="L17" s="10"/>
      <c r="M17" s="10"/>
      <c r="N17" s="10"/>
      <c r="O17" s="10"/>
      <c r="P17" s="10"/>
      <c r="Q17" s="10"/>
      <c r="R17" s="10"/>
    </row>
    <row r="18" spans="1:18" x14ac:dyDescent="0.3">
      <c r="A18" s="10"/>
      <c r="B18" s="10"/>
      <c r="C18" s="10"/>
      <c r="D18" s="10"/>
      <c r="E18" s="10"/>
      <c r="F18" s="10"/>
      <c r="G18" s="10"/>
      <c r="H18" s="10"/>
      <c r="I18" s="10"/>
      <c r="J18" s="10"/>
      <c r="K18" s="10"/>
      <c r="L18" s="10"/>
      <c r="M18" s="10"/>
      <c r="N18" s="10"/>
      <c r="O18" s="10"/>
      <c r="P18" s="10"/>
      <c r="Q18" s="10"/>
      <c r="R18" s="10"/>
    </row>
    <row r="19" spans="1:18" x14ac:dyDescent="0.3">
      <c r="A19" s="10"/>
      <c r="B19" s="10"/>
      <c r="C19" s="10"/>
      <c r="D19" s="10"/>
      <c r="E19" s="10"/>
      <c r="F19" s="10"/>
      <c r="G19" s="10"/>
      <c r="H19" s="10"/>
      <c r="I19" s="10"/>
      <c r="J19" s="10"/>
      <c r="K19" s="10"/>
      <c r="L19" s="10"/>
      <c r="M19" s="10"/>
      <c r="N19" s="10"/>
      <c r="O19" s="10"/>
      <c r="P19" s="10"/>
      <c r="Q19" s="10"/>
      <c r="R19" s="10"/>
    </row>
    <row r="20" spans="1:18" x14ac:dyDescent="0.3">
      <c r="A20" s="10"/>
      <c r="B20" s="10"/>
      <c r="C20" s="10"/>
      <c r="D20" s="10"/>
      <c r="E20" s="10"/>
      <c r="F20" s="10"/>
      <c r="G20" s="10"/>
      <c r="H20" s="10"/>
      <c r="I20" s="10"/>
      <c r="J20" s="10"/>
      <c r="K20" s="10"/>
      <c r="L20" s="10"/>
      <c r="M20" s="10"/>
      <c r="N20" s="10"/>
      <c r="O20" s="10"/>
      <c r="P20" s="10"/>
      <c r="Q20" s="10"/>
      <c r="R20" s="10"/>
    </row>
    <row r="21" spans="1:18" x14ac:dyDescent="0.3">
      <c r="A21" s="10"/>
      <c r="B21" s="10"/>
      <c r="C21" s="10"/>
      <c r="D21" s="10"/>
      <c r="E21" s="10"/>
      <c r="F21" s="10"/>
      <c r="G21" s="10"/>
      <c r="H21" s="10"/>
      <c r="I21" s="10"/>
      <c r="J21" s="10"/>
      <c r="K21" s="10"/>
      <c r="L21" s="10"/>
      <c r="M21" s="10"/>
      <c r="N21" s="10"/>
      <c r="O21" s="10"/>
      <c r="P21" s="10"/>
      <c r="Q21" s="10"/>
      <c r="R21" s="10"/>
    </row>
    <row r="22" spans="1:18" x14ac:dyDescent="0.3">
      <c r="A22" s="10"/>
      <c r="B22" s="10"/>
      <c r="C22" s="10"/>
      <c r="D22" s="10"/>
      <c r="E22" s="10"/>
      <c r="F22" s="10"/>
      <c r="G22" s="10"/>
      <c r="H22" s="10"/>
      <c r="I22" s="10"/>
      <c r="J22" s="10"/>
      <c r="K22" s="10"/>
      <c r="L22" s="10"/>
      <c r="M22" s="10"/>
      <c r="N22" s="10"/>
      <c r="O22" s="10"/>
      <c r="P22" s="10"/>
      <c r="Q22" s="10"/>
      <c r="R22" s="10"/>
    </row>
    <row r="23" spans="1:18" x14ac:dyDescent="0.3">
      <c r="A23" s="10"/>
      <c r="B23" s="10"/>
      <c r="C23" s="10"/>
      <c r="D23" s="10"/>
      <c r="E23" s="10"/>
      <c r="F23" s="10"/>
      <c r="G23" s="10"/>
      <c r="H23" s="10"/>
      <c r="I23" s="10"/>
      <c r="J23" s="10"/>
      <c r="K23" s="10"/>
      <c r="L23" s="10"/>
      <c r="M23" s="10"/>
      <c r="N23" s="10"/>
      <c r="O23" s="10"/>
      <c r="P23" s="10"/>
      <c r="Q23" s="10"/>
      <c r="R23" s="10"/>
    </row>
    <row r="24" spans="1:18" x14ac:dyDescent="0.3">
      <c r="A24" s="10"/>
      <c r="B24" s="10"/>
      <c r="C24" s="10"/>
      <c r="D24" s="10"/>
      <c r="E24" s="10"/>
      <c r="F24" s="10"/>
      <c r="G24" s="10"/>
      <c r="H24" s="10"/>
      <c r="I24" s="10"/>
      <c r="J24" s="10"/>
      <c r="K24" s="10"/>
      <c r="L24" s="10"/>
      <c r="M24" s="10"/>
      <c r="N24" s="10"/>
      <c r="O24" s="10"/>
      <c r="P24" s="10"/>
      <c r="Q24" s="10"/>
      <c r="R24" s="10"/>
    </row>
    <row r="25" spans="1:18" x14ac:dyDescent="0.3">
      <c r="A25" s="10"/>
      <c r="B25" s="10"/>
      <c r="C25" s="10"/>
      <c r="D25" s="10"/>
      <c r="E25" s="10"/>
      <c r="F25" s="10"/>
      <c r="G25" s="10"/>
      <c r="H25" s="10"/>
      <c r="I25" s="10"/>
      <c r="J25" s="10"/>
      <c r="K25" s="10"/>
      <c r="L25" s="10"/>
      <c r="M25" s="10"/>
      <c r="N25" s="10"/>
      <c r="O25" s="10"/>
      <c r="P25" s="10"/>
      <c r="Q25" s="10"/>
      <c r="R25" s="10"/>
    </row>
    <row r="26" spans="1:18" x14ac:dyDescent="0.3">
      <c r="A26" s="10"/>
      <c r="B26" s="10"/>
      <c r="C26" s="10"/>
      <c r="D26" s="10"/>
      <c r="E26" s="10"/>
      <c r="F26" s="10"/>
      <c r="G26" s="10"/>
      <c r="H26" s="10"/>
      <c r="I26" s="10"/>
      <c r="J26" s="10"/>
      <c r="K26" s="10"/>
      <c r="L26" s="10"/>
      <c r="M26" s="10"/>
      <c r="N26" s="10"/>
      <c r="O26" s="10"/>
      <c r="P26" s="10"/>
      <c r="Q26" s="10"/>
      <c r="R26" s="10"/>
    </row>
    <row r="27" spans="1:18" x14ac:dyDescent="0.3">
      <c r="A27" s="10"/>
      <c r="B27" s="10"/>
      <c r="C27" s="10"/>
      <c r="D27" s="10"/>
      <c r="E27" s="10"/>
      <c r="F27" s="10"/>
      <c r="G27" s="10"/>
      <c r="H27" s="10"/>
      <c r="I27" s="10"/>
      <c r="J27" s="10"/>
      <c r="K27" s="10"/>
      <c r="L27" s="10"/>
      <c r="M27" s="10"/>
      <c r="N27" s="10"/>
      <c r="O27" s="10"/>
      <c r="P27" s="10"/>
      <c r="Q27" s="10"/>
      <c r="R27" s="10"/>
    </row>
    <row r="28" spans="1:18" x14ac:dyDescent="0.3">
      <c r="A28" s="10"/>
      <c r="B28" s="10"/>
      <c r="C28" s="10"/>
      <c r="D28" s="10"/>
      <c r="E28" s="10"/>
      <c r="F28" s="10"/>
      <c r="G28" s="10"/>
      <c r="H28" s="10"/>
      <c r="I28" s="10"/>
      <c r="J28" s="10"/>
      <c r="K28" s="10"/>
      <c r="L28" s="10"/>
      <c r="M28" s="10"/>
      <c r="N28" s="10"/>
      <c r="O28" s="10"/>
      <c r="P28" s="10"/>
      <c r="Q28" s="10"/>
      <c r="R28" s="10"/>
    </row>
    <row r="29" spans="1:18" x14ac:dyDescent="0.3">
      <c r="A29" s="10"/>
      <c r="B29" s="10"/>
      <c r="C29" s="10"/>
      <c r="D29" s="10"/>
      <c r="E29" s="10"/>
      <c r="F29" s="10"/>
      <c r="G29" s="10"/>
      <c r="H29" s="10"/>
      <c r="I29" s="10"/>
      <c r="J29" s="10"/>
      <c r="K29" s="10"/>
      <c r="L29" s="10"/>
      <c r="M29" s="10"/>
      <c r="N29" s="10"/>
      <c r="O29" s="10"/>
      <c r="P29" s="10"/>
      <c r="Q29" s="10"/>
      <c r="R29" s="10"/>
    </row>
    <row r="30" spans="1:18" x14ac:dyDescent="0.3">
      <c r="A30" s="10"/>
      <c r="B30" s="10"/>
      <c r="C30" s="10"/>
      <c r="D30" s="10"/>
      <c r="E30" s="10"/>
      <c r="F30" s="10"/>
      <c r="G30" s="10"/>
      <c r="H30" s="10"/>
      <c r="I30" s="10"/>
      <c r="J30" s="10"/>
      <c r="K30" s="10"/>
      <c r="L30" s="10"/>
      <c r="M30" s="10"/>
      <c r="N30" s="10"/>
      <c r="O30" s="10"/>
      <c r="P30" s="10"/>
      <c r="Q30" s="10"/>
      <c r="R30" s="1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C6737-BF2C-4D2F-878B-824437143157}">
  <dimension ref="A1:R47"/>
  <sheetViews>
    <sheetView zoomScale="80" workbookViewId="0"/>
  </sheetViews>
  <sheetFormatPr defaultRowHeight="14.4" x14ac:dyDescent="0.3"/>
  <sheetData>
    <row r="1" spans="1:18" x14ac:dyDescent="0.3">
      <c r="A1" s="10"/>
      <c r="B1" s="10"/>
      <c r="C1" s="10"/>
      <c r="D1" s="10"/>
      <c r="E1" s="10"/>
      <c r="F1" s="10"/>
      <c r="G1" s="10"/>
      <c r="H1" s="10"/>
      <c r="I1" s="10"/>
      <c r="J1" s="10"/>
      <c r="K1" s="10"/>
      <c r="L1" s="10"/>
      <c r="M1" s="10"/>
      <c r="N1" s="10"/>
      <c r="O1" s="10"/>
      <c r="P1" s="10"/>
      <c r="Q1" s="10"/>
      <c r="R1" s="10"/>
    </row>
    <row r="2" spans="1:18" x14ac:dyDescent="0.3">
      <c r="A2" s="10"/>
      <c r="B2" s="10"/>
      <c r="C2" s="10"/>
      <c r="D2" s="10"/>
      <c r="E2" s="10"/>
      <c r="F2" s="10"/>
      <c r="G2" s="10"/>
      <c r="H2" s="10"/>
      <c r="I2" s="10"/>
      <c r="J2" s="10"/>
      <c r="K2" s="10"/>
      <c r="L2" s="10"/>
      <c r="M2" s="10"/>
      <c r="N2" s="10"/>
      <c r="O2" s="10"/>
      <c r="P2" s="10"/>
      <c r="Q2" s="10"/>
      <c r="R2" s="10"/>
    </row>
    <row r="3" spans="1:18" x14ac:dyDescent="0.3">
      <c r="A3" s="10"/>
      <c r="B3" s="10"/>
      <c r="C3" s="10"/>
      <c r="D3" s="10"/>
      <c r="E3" s="10"/>
      <c r="F3" s="10"/>
      <c r="G3" s="10"/>
      <c r="H3" s="10"/>
      <c r="I3" s="10"/>
      <c r="J3" s="10"/>
      <c r="K3" s="10"/>
      <c r="L3" s="10"/>
      <c r="M3" s="10"/>
      <c r="N3" s="10"/>
      <c r="O3" s="10"/>
      <c r="P3" s="10"/>
      <c r="Q3" s="10"/>
      <c r="R3" s="10"/>
    </row>
    <row r="4" spans="1:18" x14ac:dyDescent="0.3">
      <c r="A4" s="10"/>
      <c r="B4" s="10"/>
      <c r="C4" s="10"/>
      <c r="D4" s="10"/>
      <c r="E4" s="10"/>
      <c r="F4" s="10"/>
      <c r="G4" s="10"/>
      <c r="H4" s="10"/>
      <c r="I4" s="10"/>
      <c r="J4" s="10"/>
      <c r="K4" s="10"/>
      <c r="L4" s="10"/>
      <c r="M4" s="10"/>
      <c r="N4" s="10"/>
      <c r="O4" s="10"/>
      <c r="P4" s="10"/>
      <c r="Q4" s="10"/>
      <c r="R4" s="10"/>
    </row>
    <row r="5" spans="1:18" x14ac:dyDescent="0.3">
      <c r="A5" s="10"/>
      <c r="B5" s="10"/>
      <c r="C5" s="10"/>
      <c r="D5" s="10"/>
      <c r="E5" s="10"/>
      <c r="F5" s="10"/>
      <c r="G5" s="10"/>
      <c r="H5" s="10"/>
      <c r="I5" s="10"/>
      <c r="J5" s="10"/>
      <c r="K5" s="10"/>
      <c r="L5" s="10"/>
      <c r="M5" s="10"/>
      <c r="N5" s="10"/>
      <c r="O5" s="10"/>
      <c r="P5" s="10"/>
      <c r="Q5" s="10"/>
      <c r="R5" s="10"/>
    </row>
    <row r="6" spans="1:18" x14ac:dyDescent="0.3">
      <c r="A6" s="10"/>
      <c r="B6" s="10"/>
      <c r="C6" s="10"/>
      <c r="D6" s="10"/>
      <c r="E6" s="10"/>
      <c r="F6" s="10"/>
      <c r="G6" s="10"/>
      <c r="H6" s="10"/>
      <c r="I6" s="10"/>
      <c r="J6" s="10"/>
      <c r="K6" s="10"/>
      <c r="L6" s="10"/>
      <c r="M6" s="10"/>
      <c r="N6" s="10"/>
      <c r="O6" s="10"/>
      <c r="P6" s="10"/>
      <c r="Q6" s="10"/>
      <c r="R6" s="10"/>
    </row>
    <row r="7" spans="1:18" x14ac:dyDescent="0.3">
      <c r="A7" s="10"/>
      <c r="B7" s="10"/>
      <c r="C7" s="10"/>
      <c r="D7" s="10"/>
      <c r="E7" s="10"/>
      <c r="F7" s="10"/>
      <c r="G7" s="10"/>
      <c r="H7" s="10"/>
      <c r="I7" s="10"/>
      <c r="J7" s="10"/>
      <c r="K7" s="10"/>
      <c r="L7" s="10"/>
      <c r="M7" s="10"/>
      <c r="N7" s="10"/>
      <c r="O7" s="10"/>
      <c r="P7" s="10"/>
      <c r="Q7" s="10"/>
      <c r="R7" s="10"/>
    </row>
    <row r="8" spans="1:18" x14ac:dyDescent="0.3">
      <c r="A8" s="10"/>
      <c r="B8" s="10"/>
      <c r="C8" s="10"/>
      <c r="D8" s="10"/>
      <c r="E8" s="10"/>
      <c r="F8" s="10"/>
      <c r="G8" s="10"/>
      <c r="H8" s="10"/>
      <c r="I8" s="10"/>
      <c r="J8" s="10"/>
      <c r="K8" s="10"/>
      <c r="L8" s="10"/>
      <c r="M8" s="10"/>
      <c r="N8" s="10"/>
      <c r="O8" s="10"/>
      <c r="P8" s="10"/>
      <c r="Q8" s="10"/>
      <c r="R8" s="10"/>
    </row>
    <row r="9" spans="1:18" x14ac:dyDescent="0.3">
      <c r="A9" s="10"/>
      <c r="B9" s="10"/>
      <c r="C9" s="10"/>
      <c r="D9" s="10"/>
      <c r="E9" s="10"/>
      <c r="F9" s="10"/>
      <c r="G9" s="10"/>
      <c r="H9" s="10"/>
      <c r="I9" s="10"/>
      <c r="J9" s="10"/>
      <c r="K9" s="10"/>
      <c r="L9" s="10"/>
      <c r="M9" s="10"/>
      <c r="N9" s="10"/>
      <c r="O9" s="10"/>
      <c r="P9" s="10"/>
      <c r="Q9" s="10"/>
      <c r="R9" s="10"/>
    </row>
    <row r="10" spans="1:18" x14ac:dyDescent="0.3">
      <c r="A10" s="10"/>
      <c r="B10" s="10"/>
      <c r="C10" s="10"/>
      <c r="D10" s="10"/>
      <c r="E10" s="10"/>
      <c r="F10" s="10"/>
      <c r="G10" s="10"/>
      <c r="H10" s="10"/>
      <c r="I10" s="10"/>
      <c r="J10" s="10"/>
      <c r="K10" s="10"/>
      <c r="L10" s="10"/>
      <c r="M10" s="10"/>
      <c r="N10" s="10"/>
      <c r="O10" s="10"/>
      <c r="P10" s="10"/>
      <c r="Q10" s="10"/>
      <c r="R10" s="10"/>
    </row>
    <row r="11" spans="1:18" x14ac:dyDescent="0.3">
      <c r="A11" s="10"/>
      <c r="B11" s="10"/>
      <c r="C11" s="10"/>
      <c r="D11" s="10"/>
      <c r="E11" s="10"/>
      <c r="F11" s="10"/>
      <c r="G11" s="10"/>
      <c r="H11" s="10"/>
      <c r="I11" s="10"/>
      <c r="J11" s="10"/>
      <c r="K11" s="10"/>
      <c r="L11" s="10"/>
      <c r="M11" s="10"/>
      <c r="N11" s="10"/>
      <c r="O11" s="10"/>
      <c r="P11" s="10"/>
      <c r="Q11" s="10"/>
      <c r="R11" s="10"/>
    </row>
    <row r="12" spans="1:18" x14ac:dyDescent="0.3">
      <c r="A12" s="10"/>
      <c r="B12" s="10"/>
      <c r="C12" s="10"/>
      <c r="D12" s="10"/>
      <c r="E12" s="10"/>
      <c r="F12" s="10"/>
      <c r="G12" s="10"/>
      <c r="H12" s="10"/>
      <c r="I12" s="10"/>
      <c r="J12" s="10"/>
      <c r="K12" s="10"/>
      <c r="L12" s="10"/>
      <c r="M12" s="10"/>
      <c r="N12" s="10"/>
      <c r="O12" s="10"/>
      <c r="P12" s="10"/>
      <c r="Q12" s="10"/>
      <c r="R12" s="10"/>
    </row>
    <row r="13" spans="1:18" x14ac:dyDescent="0.3">
      <c r="A13" s="10"/>
      <c r="B13" s="10"/>
      <c r="C13" s="10"/>
      <c r="D13" s="10"/>
      <c r="E13" s="10"/>
      <c r="F13" s="10"/>
      <c r="G13" s="10"/>
      <c r="H13" s="10"/>
      <c r="I13" s="10"/>
      <c r="J13" s="10"/>
      <c r="K13" s="10"/>
      <c r="L13" s="10"/>
      <c r="M13" s="10"/>
      <c r="N13" s="10"/>
      <c r="O13" s="10"/>
      <c r="P13" s="10"/>
      <c r="Q13" s="10"/>
      <c r="R13" s="10"/>
    </row>
    <row r="14" spans="1:18" x14ac:dyDescent="0.3">
      <c r="A14" s="10"/>
      <c r="B14" s="10"/>
      <c r="C14" s="10"/>
      <c r="D14" s="10"/>
      <c r="E14" s="10"/>
      <c r="F14" s="10"/>
      <c r="G14" s="10"/>
      <c r="H14" s="10"/>
      <c r="I14" s="10"/>
      <c r="J14" s="10"/>
      <c r="K14" s="10"/>
      <c r="L14" s="10"/>
      <c r="M14" s="10"/>
      <c r="N14" s="10"/>
      <c r="O14" s="10"/>
      <c r="P14" s="10"/>
      <c r="Q14" s="10"/>
      <c r="R14" s="10"/>
    </row>
    <row r="15" spans="1:18" x14ac:dyDescent="0.3">
      <c r="A15" s="10"/>
      <c r="B15" s="10"/>
      <c r="C15" s="10"/>
      <c r="D15" s="10"/>
      <c r="E15" s="10"/>
      <c r="F15" s="10"/>
      <c r="G15" s="10"/>
      <c r="H15" s="10"/>
      <c r="I15" s="10"/>
      <c r="J15" s="10"/>
      <c r="K15" s="10"/>
      <c r="L15" s="10"/>
      <c r="M15" s="10"/>
      <c r="N15" s="10"/>
      <c r="O15" s="10"/>
      <c r="P15" s="10"/>
      <c r="Q15" s="10"/>
      <c r="R15" s="10"/>
    </row>
    <row r="16" spans="1:18" x14ac:dyDescent="0.3">
      <c r="A16" s="10"/>
      <c r="B16" s="10"/>
      <c r="C16" s="10"/>
      <c r="D16" s="10"/>
      <c r="E16" s="10"/>
      <c r="F16" s="10"/>
      <c r="G16" s="10"/>
      <c r="H16" s="10"/>
      <c r="I16" s="10"/>
      <c r="J16" s="10"/>
      <c r="K16" s="10"/>
      <c r="L16" s="10"/>
      <c r="M16" s="10"/>
      <c r="N16" s="10"/>
      <c r="O16" s="10"/>
      <c r="P16" s="10"/>
      <c r="Q16" s="10"/>
      <c r="R16" s="10"/>
    </row>
    <row r="17" spans="1:18" x14ac:dyDescent="0.3">
      <c r="A17" s="10"/>
      <c r="B17" s="10"/>
      <c r="C17" s="10"/>
      <c r="D17" s="10"/>
      <c r="E17" s="10"/>
      <c r="F17" s="10"/>
      <c r="G17" s="10"/>
      <c r="H17" s="10"/>
      <c r="I17" s="10"/>
      <c r="J17" s="10"/>
      <c r="K17" s="10"/>
      <c r="L17" s="10"/>
      <c r="M17" s="10"/>
      <c r="N17" s="10"/>
      <c r="O17" s="10"/>
      <c r="P17" s="10"/>
      <c r="Q17" s="10"/>
      <c r="R17" s="10"/>
    </row>
    <row r="18" spans="1:18" x14ac:dyDescent="0.3">
      <c r="A18" s="10"/>
      <c r="B18" s="10"/>
      <c r="C18" s="10"/>
      <c r="D18" s="10"/>
      <c r="E18" s="10"/>
      <c r="F18" s="10"/>
      <c r="G18" s="10"/>
      <c r="H18" s="10"/>
      <c r="I18" s="10"/>
      <c r="J18" s="10"/>
      <c r="K18" s="10"/>
      <c r="L18" s="10"/>
      <c r="M18" s="10"/>
      <c r="N18" s="10"/>
      <c r="O18" s="10"/>
      <c r="P18" s="10"/>
      <c r="Q18" s="10"/>
      <c r="R18" s="10"/>
    </row>
    <row r="19" spans="1:18" x14ac:dyDescent="0.3">
      <c r="A19" s="10"/>
      <c r="B19" s="10"/>
      <c r="C19" s="10"/>
      <c r="D19" s="10"/>
      <c r="E19" s="10"/>
      <c r="F19" s="10"/>
      <c r="G19" s="10"/>
      <c r="H19" s="10"/>
      <c r="I19" s="10"/>
      <c r="J19" s="10"/>
      <c r="K19" s="10"/>
      <c r="L19" s="10"/>
      <c r="M19" s="10"/>
      <c r="N19" s="10"/>
      <c r="O19" s="10"/>
      <c r="P19" s="10"/>
      <c r="Q19" s="10"/>
      <c r="R19" s="10"/>
    </row>
    <row r="20" spans="1:18" x14ac:dyDescent="0.3">
      <c r="A20" s="10"/>
      <c r="B20" s="10"/>
      <c r="C20" s="10"/>
      <c r="D20" s="10"/>
      <c r="E20" s="10"/>
      <c r="F20" s="10"/>
      <c r="G20" s="10"/>
      <c r="H20" s="10"/>
      <c r="I20" s="10"/>
      <c r="J20" s="10"/>
      <c r="K20" s="10"/>
      <c r="L20" s="10"/>
      <c r="M20" s="10"/>
      <c r="N20" s="10"/>
      <c r="O20" s="10"/>
      <c r="P20" s="10"/>
      <c r="Q20" s="10"/>
      <c r="R20" s="10"/>
    </row>
    <row r="21" spans="1:18" x14ac:dyDescent="0.3">
      <c r="A21" s="10"/>
      <c r="B21" s="10"/>
      <c r="C21" s="10"/>
      <c r="D21" s="10"/>
      <c r="E21" s="10"/>
      <c r="F21" s="10"/>
      <c r="G21" s="10"/>
      <c r="H21" s="10"/>
      <c r="I21" s="10"/>
      <c r="J21" s="10"/>
      <c r="K21" s="10"/>
      <c r="L21" s="10"/>
      <c r="M21" s="10"/>
      <c r="N21" s="10"/>
      <c r="O21" s="10"/>
      <c r="P21" s="10"/>
      <c r="Q21" s="10"/>
      <c r="R21" s="10"/>
    </row>
    <row r="22" spans="1:18" x14ac:dyDescent="0.3">
      <c r="A22" s="10"/>
      <c r="B22" s="10"/>
      <c r="C22" s="10"/>
      <c r="D22" s="10"/>
      <c r="E22" s="10"/>
      <c r="F22" s="10"/>
      <c r="G22" s="10"/>
      <c r="H22" s="10"/>
      <c r="I22" s="10"/>
      <c r="J22" s="10"/>
      <c r="K22" s="10"/>
      <c r="L22" s="10"/>
      <c r="M22" s="10"/>
      <c r="N22" s="10"/>
      <c r="O22" s="10"/>
      <c r="P22" s="10"/>
      <c r="Q22" s="10"/>
      <c r="R22" s="10"/>
    </row>
    <row r="23" spans="1:18" x14ac:dyDescent="0.3">
      <c r="A23" s="10"/>
      <c r="B23" s="10"/>
      <c r="C23" s="10"/>
      <c r="D23" s="10"/>
      <c r="E23" s="10"/>
      <c r="F23" s="10"/>
      <c r="G23" s="10"/>
      <c r="H23" s="10"/>
      <c r="I23" s="10"/>
      <c r="J23" s="10"/>
      <c r="K23" s="10"/>
      <c r="L23" s="10"/>
      <c r="M23" s="10"/>
      <c r="N23" s="10"/>
      <c r="O23" s="10"/>
      <c r="P23" s="10"/>
      <c r="Q23" s="10"/>
      <c r="R23" s="10"/>
    </row>
    <row r="24" spans="1:18" x14ac:dyDescent="0.3">
      <c r="A24" s="10"/>
      <c r="B24" s="10"/>
      <c r="C24" s="10"/>
      <c r="D24" s="10"/>
      <c r="E24" s="10"/>
      <c r="F24" s="10"/>
      <c r="G24" s="10"/>
      <c r="H24" s="10"/>
      <c r="I24" s="10"/>
      <c r="J24" s="10"/>
      <c r="K24" s="10"/>
      <c r="L24" s="10"/>
      <c r="M24" s="10"/>
      <c r="N24" s="10"/>
      <c r="O24" s="10"/>
      <c r="P24" s="10"/>
      <c r="Q24" s="10"/>
      <c r="R24" s="10"/>
    </row>
    <row r="25" spans="1:18" x14ac:dyDescent="0.3">
      <c r="A25" s="10"/>
      <c r="B25" s="10"/>
      <c r="C25" s="10"/>
      <c r="D25" s="10"/>
      <c r="E25" s="10"/>
      <c r="F25" s="10"/>
      <c r="G25" s="10"/>
      <c r="H25" s="10"/>
      <c r="I25" s="10"/>
      <c r="J25" s="10"/>
      <c r="K25" s="10"/>
      <c r="L25" s="10"/>
      <c r="M25" s="10"/>
      <c r="N25" s="10"/>
      <c r="O25" s="10"/>
      <c r="P25" s="10"/>
      <c r="Q25" s="10"/>
      <c r="R25" s="10"/>
    </row>
    <row r="26" spans="1:18" x14ac:dyDescent="0.3">
      <c r="A26" s="10"/>
      <c r="B26" s="10"/>
      <c r="C26" s="10"/>
      <c r="D26" s="10"/>
      <c r="E26" s="10"/>
      <c r="F26" s="10"/>
      <c r="G26" s="10"/>
      <c r="H26" s="10"/>
      <c r="I26" s="10"/>
      <c r="J26" s="10"/>
      <c r="K26" s="10"/>
      <c r="L26" s="10"/>
      <c r="M26" s="10"/>
      <c r="N26" s="10"/>
      <c r="O26" s="10"/>
      <c r="P26" s="10"/>
      <c r="Q26" s="10"/>
      <c r="R26" s="10"/>
    </row>
    <row r="27" spans="1:18" x14ac:dyDescent="0.3">
      <c r="A27" s="10"/>
      <c r="B27" s="10"/>
      <c r="C27" s="10"/>
      <c r="D27" s="10"/>
      <c r="E27" s="10"/>
      <c r="F27" s="10"/>
      <c r="G27" s="10"/>
      <c r="H27" s="10"/>
      <c r="I27" s="10"/>
      <c r="J27" s="10"/>
      <c r="K27" s="10"/>
      <c r="L27" s="10"/>
      <c r="M27" s="10"/>
      <c r="N27" s="10"/>
      <c r="O27" s="10"/>
      <c r="P27" s="10"/>
      <c r="Q27" s="10"/>
      <c r="R27" s="10"/>
    </row>
    <row r="28" spans="1:18" x14ac:dyDescent="0.3">
      <c r="A28" s="10"/>
      <c r="B28" s="10"/>
      <c r="C28" s="10"/>
      <c r="D28" s="10"/>
      <c r="E28" s="10"/>
      <c r="F28" s="10"/>
      <c r="G28" s="10"/>
      <c r="H28" s="10"/>
      <c r="I28" s="10"/>
      <c r="J28" s="10"/>
      <c r="K28" s="10"/>
      <c r="L28" s="10"/>
      <c r="M28" s="10"/>
      <c r="N28" s="10"/>
      <c r="O28" s="10"/>
      <c r="P28" s="10"/>
      <c r="Q28" s="10"/>
      <c r="R28" s="10"/>
    </row>
    <row r="29" spans="1:18" x14ac:dyDescent="0.3">
      <c r="A29" s="10"/>
      <c r="B29" s="10"/>
      <c r="C29" s="10"/>
      <c r="D29" s="10"/>
      <c r="E29" s="10"/>
      <c r="F29" s="10"/>
      <c r="G29" s="10"/>
      <c r="H29" s="10"/>
      <c r="I29" s="10"/>
      <c r="J29" s="10"/>
      <c r="K29" s="10"/>
      <c r="L29" s="10"/>
      <c r="M29" s="10"/>
      <c r="N29" s="10"/>
      <c r="O29" s="10"/>
      <c r="P29" s="10"/>
      <c r="Q29" s="10"/>
      <c r="R29" s="10"/>
    </row>
    <row r="30" spans="1:18" x14ac:dyDescent="0.3">
      <c r="A30" s="10"/>
      <c r="B30" s="10"/>
      <c r="C30" s="10"/>
      <c r="D30" s="10"/>
      <c r="E30" s="10"/>
      <c r="F30" s="10"/>
      <c r="G30" s="10"/>
      <c r="H30" s="10"/>
      <c r="I30" s="10"/>
      <c r="J30" s="10"/>
      <c r="K30" s="10"/>
      <c r="L30" s="10"/>
      <c r="M30" s="10"/>
      <c r="N30" s="10"/>
      <c r="O30" s="10"/>
      <c r="P30" s="10"/>
      <c r="Q30" s="10"/>
      <c r="R30" s="10"/>
    </row>
    <row r="31" spans="1:18" x14ac:dyDescent="0.3">
      <c r="A31" s="10"/>
      <c r="B31" s="10"/>
      <c r="C31" s="10"/>
      <c r="D31" s="10"/>
      <c r="E31" s="10"/>
      <c r="F31" s="10"/>
      <c r="G31" s="10"/>
      <c r="H31" s="10"/>
      <c r="I31" s="10"/>
      <c r="J31" s="10"/>
      <c r="K31" s="10"/>
      <c r="L31" s="10"/>
      <c r="M31" s="10"/>
      <c r="N31" s="10"/>
      <c r="O31" s="10"/>
      <c r="P31" s="10"/>
      <c r="Q31" s="10"/>
      <c r="R31" s="10"/>
    </row>
    <row r="32" spans="1:18" x14ac:dyDescent="0.3">
      <c r="A32" s="10"/>
      <c r="B32" s="10"/>
      <c r="C32" s="10"/>
      <c r="D32" s="10"/>
      <c r="E32" s="10"/>
      <c r="F32" s="10"/>
      <c r="G32" s="10"/>
      <c r="H32" s="10"/>
      <c r="I32" s="10"/>
      <c r="J32" s="10"/>
      <c r="K32" s="10"/>
      <c r="L32" s="10"/>
      <c r="M32" s="10"/>
      <c r="N32" s="10"/>
      <c r="O32" s="10"/>
      <c r="P32" s="10"/>
      <c r="Q32" s="10"/>
      <c r="R32" s="10"/>
    </row>
    <row r="33" spans="1:18" x14ac:dyDescent="0.3">
      <c r="A33" s="10"/>
      <c r="B33" s="10"/>
      <c r="C33" s="10"/>
      <c r="D33" s="10"/>
      <c r="E33" s="10"/>
      <c r="F33" s="10"/>
      <c r="G33" s="10"/>
      <c r="H33" s="10"/>
      <c r="I33" s="10"/>
      <c r="J33" s="10"/>
      <c r="K33" s="10"/>
      <c r="L33" s="10"/>
      <c r="M33" s="10"/>
      <c r="N33" s="10"/>
      <c r="O33" s="10"/>
      <c r="P33" s="10"/>
      <c r="Q33" s="10"/>
      <c r="R33" s="10"/>
    </row>
    <row r="34" spans="1:18" x14ac:dyDescent="0.3">
      <c r="A34" s="10"/>
      <c r="B34" s="10"/>
      <c r="C34" s="10"/>
      <c r="D34" s="10"/>
      <c r="E34" s="10"/>
      <c r="F34" s="10"/>
      <c r="G34" s="10"/>
      <c r="H34" s="10"/>
      <c r="I34" s="10"/>
      <c r="J34" s="10"/>
      <c r="K34" s="10"/>
      <c r="L34" s="10"/>
      <c r="M34" s="10"/>
      <c r="N34" s="10"/>
      <c r="O34" s="10"/>
      <c r="P34" s="10"/>
      <c r="Q34" s="10"/>
      <c r="R34" s="10"/>
    </row>
    <row r="35" spans="1:18" x14ac:dyDescent="0.3">
      <c r="A35" s="10"/>
      <c r="B35" s="10"/>
      <c r="C35" s="10"/>
      <c r="D35" s="10"/>
      <c r="E35" s="10"/>
      <c r="F35" s="10"/>
      <c r="G35" s="10"/>
      <c r="H35" s="10"/>
      <c r="I35" s="10"/>
      <c r="J35" s="10"/>
      <c r="K35" s="10"/>
      <c r="L35" s="10"/>
      <c r="M35" s="10"/>
      <c r="N35" s="10"/>
      <c r="O35" s="10"/>
      <c r="P35" s="10"/>
      <c r="Q35" s="10"/>
      <c r="R35" s="10"/>
    </row>
    <row r="36" spans="1:18" x14ac:dyDescent="0.3">
      <c r="A36" s="10"/>
      <c r="B36" s="10"/>
      <c r="C36" s="10"/>
      <c r="D36" s="10"/>
      <c r="E36" s="10"/>
      <c r="F36" s="10"/>
      <c r="G36" s="10"/>
      <c r="H36" s="10"/>
      <c r="I36" s="10"/>
      <c r="J36" s="10"/>
      <c r="K36" s="10"/>
      <c r="L36" s="10"/>
      <c r="M36" s="10"/>
      <c r="N36" s="10"/>
      <c r="O36" s="10"/>
      <c r="P36" s="10"/>
      <c r="Q36" s="10"/>
      <c r="R36" s="10"/>
    </row>
    <row r="37" spans="1:18" x14ac:dyDescent="0.3">
      <c r="A37" s="10"/>
      <c r="B37" s="10"/>
      <c r="C37" s="10"/>
      <c r="D37" s="10"/>
      <c r="E37" s="10"/>
      <c r="F37" s="10"/>
      <c r="G37" s="10"/>
      <c r="H37" s="10"/>
      <c r="I37" s="10"/>
      <c r="J37" s="10"/>
      <c r="K37" s="10"/>
      <c r="L37" s="10"/>
      <c r="M37" s="10"/>
      <c r="N37" s="10"/>
      <c r="O37" s="10"/>
      <c r="P37" s="10"/>
      <c r="Q37" s="10"/>
      <c r="R37" s="10"/>
    </row>
    <row r="38" spans="1:18" x14ac:dyDescent="0.3">
      <c r="A38" s="10"/>
      <c r="B38" s="10"/>
      <c r="C38" s="10"/>
      <c r="D38" s="10"/>
      <c r="E38" s="10"/>
      <c r="F38" s="10"/>
      <c r="G38" s="10"/>
      <c r="H38" s="10"/>
      <c r="I38" s="10"/>
      <c r="J38" s="10"/>
      <c r="K38" s="10"/>
      <c r="L38" s="10"/>
      <c r="M38" s="10"/>
      <c r="N38" s="10"/>
      <c r="O38" s="10"/>
      <c r="P38" s="10"/>
      <c r="Q38" s="10"/>
      <c r="R38" s="10"/>
    </row>
    <row r="39" spans="1:18" x14ac:dyDescent="0.3">
      <c r="A39" s="10"/>
      <c r="B39" s="10"/>
      <c r="C39" s="10"/>
      <c r="D39" s="10"/>
      <c r="E39" s="10"/>
      <c r="F39" s="10"/>
      <c r="G39" s="10"/>
      <c r="H39" s="10"/>
      <c r="I39" s="10"/>
      <c r="J39" s="10"/>
      <c r="K39" s="10"/>
      <c r="L39" s="10"/>
      <c r="M39" s="10"/>
      <c r="N39" s="10"/>
      <c r="O39" s="10"/>
      <c r="P39" s="10"/>
      <c r="Q39" s="10"/>
      <c r="R39" s="10"/>
    </row>
    <row r="40" spans="1:18" x14ac:dyDescent="0.3">
      <c r="A40" s="10"/>
      <c r="B40" s="10"/>
      <c r="C40" s="10"/>
      <c r="D40" s="10"/>
      <c r="E40" s="10"/>
      <c r="F40" s="10"/>
      <c r="G40" s="10"/>
      <c r="H40" s="10"/>
      <c r="I40" s="10"/>
      <c r="J40" s="10"/>
      <c r="K40" s="10"/>
      <c r="L40" s="10"/>
      <c r="M40" s="10"/>
      <c r="N40" s="10"/>
      <c r="O40" s="10"/>
      <c r="P40" s="10"/>
      <c r="Q40" s="10"/>
      <c r="R40" s="10"/>
    </row>
    <row r="41" spans="1:18" x14ac:dyDescent="0.3">
      <c r="A41" s="10"/>
      <c r="B41" s="10"/>
      <c r="C41" s="10"/>
      <c r="D41" s="10"/>
      <c r="E41" s="10"/>
      <c r="F41" s="10"/>
      <c r="G41" s="10"/>
      <c r="H41" s="10"/>
      <c r="I41" s="10"/>
      <c r="J41" s="10"/>
      <c r="K41" s="10"/>
      <c r="L41" s="10"/>
      <c r="M41" s="10"/>
      <c r="N41" s="10"/>
      <c r="O41" s="10"/>
      <c r="P41" s="10"/>
      <c r="Q41" s="10"/>
      <c r="R41" s="10"/>
    </row>
    <row r="42" spans="1:18" x14ac:dyDescent="0.3">
      <c r="A42" s="10"/>
      <c r="B42" s="10"/>
      <c r="C42" s="10"/>
      <c r="D42" s="10"/>
      <c r="E42" s="10"/>
      <c r="F42" s="10"/>
      <c r="G42" s="10"/>
      <c r="H42" s="10"/>
      <c r="I42" s="10"/>
      <c r="J42" s="10"/>
      <c r="K42" s="10"/>
      <c r="L42" s="10"/>
      <c r="M42" s="10"/>
      <c r="N42" s="10"/>
      <c r="O42" s="10"/>
      <c r="P42" s="10"/>
      <c r="Q42" s="10"/>
      <c r="R42" s="10"/>
    </row>
    <row r="43" spans="1:18" x14ac:dyDescent="0.3">
      <c r="A43" s="10"/>
      <c r="B43" s="10"/>
      <c r="C43" s="10"/>
      <c r="D43" s="10"/>
      <c r="E43" s="10"/>
      <c r="F43" s="10"/>
      <c r="G43" s="10"/>
      <c r="H43" s="10"/>
      <c r="I43" s="10"/>
      <c r="J43" s="10"/>
      <c r="K43" s="10"/>
      <c r="L43" s="10"/>
      <c r="M43" s="10"/>
      <c r="N43" s="10"/>
      <c r="O43" s="10"/>
      <c r="P43" s="10"/>
      <c r="Q43" s="10"/>
      <c r="R43" s="10"/>
    </row>
    <row r="44" spans="1:18" x14ac:dyDescent="0.3">
      <c r="A44" s="10"/>
      <c r="B44" s="10"/>
      <c r="C44" s="10"/>
      <c r="D44" s="10"/>
      <c r="E44" s="10"/>
      <c r="F44" s="10"/>
      <c r="G44" s="10"/>
      <c r="H44" s="10"/>
      <c r="I44" s="10"/>
      <c r="J44" s="10"/>
      <c r="K44" s="10"/>
      <c r="L44" s="10"/>
      <c r="M44" s="10"/>
      <c r="N44" s="10"/>
      <c r="O44" s="10"/>
      <c r="P44" s="10"/>
      <c r="Q44" s="10"/>
      <c r="R44" s="10"/>
    </row>
    <row r="45" spans="1:18" x14ac:dyDescent="0.3">
      <c r="A45" s="10"/>
      <c r="B45" s="10"/>
      <c r="C45" s="10"/>
      <c r="D45" s="10"/>
      <c r="E45" s="10"/>
      <c r="F45" s="10"/>
      <c r="G45" s="10"/>
      <c r="H45" s="10"/>
      <c r="I45" s="10"/>
      <c r="J45" s="10"/>
      <c r="K45" s="10"/>
      <c r="L45" s="10"/>
      <c r="M45" s="10"/>
      <c r="N45" s="10"/>
      <c r="O45" s="10"/>
      <c r="P45" s="10"/>
      <c r="Q45" s="10"/>
      <c r="R45" s="10"/>
    </row>
    <row r="46" spans="1:18" x14ac:dyDescent="0.3">
      <c r="A46" s="10"/>
      <c r="B46" s="10"/>
      <c r="C46" s="10"/>
      <c r="D46" s="10"/>
      <c r="E46" s="10"/>
      <c r="F46" s="10"/>
      <c r="G46" s="10"/>
      <c r="H46" s="10"/>
      <c r="I46" s="10"/>
      <c r="J46" s="10"/>
      <c r="K46" s="10"/>
      <c r="L46" s="10"/>
      <c r="M46" s="10"/>
      <c r="N46" s="10"/>
      <c r="O46" s="10"/>
      <c r="P46" s="10"/>
      <c r="Q46" s="10"/>
      <c r="R46" s="10"/>
    </row>
    <row r="47" spans="1:18" x14ac:dyDescent="0.3">
      <c r="A47" s="10"/>
      <c r="B47" s="10"/>
      <c r="C47" s="10"/>
      <c r="D47" s="10"/>
      <c r="E47" s="10"/>
      <c r="F47" s="10"/>
      <c r="G47" s="10"/>
      <c r="H47" s="10"/>
      <c r="I47" s="10"/>
      <c r="J47" s="10"/>
      <c r="K47" s="10"/>
      <c r="L47" s="10"/>
      <c r="M47" s="10"/>
      <c r="N47" s="10"/>
      <c r="O47" s="10"/>
      <c r="P47" s="10"/>
      <c r="Q47" s="10"/>
      <c r="R47" s="10"/>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94BA5-05BE-470C-BF72-F9D79AFD962E}">
  <dimension ref="A1:V27"/>
  <sheetViews>
    <sheetView zoomScale="111" workbookViewId="0"/>
  </sheetViews>
  <sheetFormatPr defaultRowHeight="14.4" x14ac:dyDescent="0.3"/>
  <sheetData>
    <row r="1" spans="1:22" x14ac:dyDescent="0.3">
      <c r="A1" s="10"/>
      <c r="B1" s="10"/>
      <c r="C1" s="10"/>
      <c r="D1" s="10"/>
      <c r="E1" s="10"/>
      <c r="F1" s="10"/>
      <c r="G1" s="10"/>
      <c r="H1" s="10"/>
      <c r="I1" s="10"/>
      <c r="J1" s="10"/>
      <c r="K1" s="10"/>
      <c r="L1" s="10"/>
      <c r="M1" s="10"/>
      <c r="N1" s="10"/>
      <c r="O1" s="10"/>
      <c r="P1" s="10"/>
      <c r="Q1" s="10"/>
      <c r="R1" s="10"/>
      <c r="S1" s="10"/>
      <c r="T1" s="10"/>
      <c r="U1" s="10"/>
      <c r="V1" s="10"/>
    </row>
    <row r="2" spans="1:22" x14ac:dyDescent="0.3">
      <c r="A2" s="10"/>
      <c r="B2" s="10"/>
      <c r="C2" s="10"/>
      <c r="D2" s="10"/>
      <c r="E2" s="10"/>
      <c r="F2" s="10"/>
      <c r="G2" s="10"/>
      <c r="H2" s="10"/>
      <c r="I2" s="10"/>
      <c r="J2" s="10"/>
      <c r="K2" s="10"/>
      <c r="L2" s="10"/>
      <c r="M2" s="10"/>
      <c r="N2" s="10"/>
      <c r="O2" s="10"/>
      <c r="P2" s="10"/>
      <c r="Q2" s="10"/>
      <c r="R2" s="10"/>
      <c r="S2" s="10"/>
      <c r="T2" s="10"/>
      <c r="U2" s="10"/>
      <c r="V2" s="10"/>
    </row>
    <row r="3" spans="1:22" x14ac:dyDescent="0.3">
      <c r="A3" s="10"/>
      <c r="B3" s="10"/>
      <c r="C3" s="10"/>
      <c r="D3" s="10"/>
      <c r="E3" s="10"/>
      <c r="F3" s="10"/>
      <c r="G3" s="10"/>
      <c r="H3" s="10"/>
      <c r="I3" s="10"/>
      <c r="J3" s="10"/>
      <c r="K3" s="10"/>
      <c r="L3" s="10"/>
      <c r="M3" s="10"/>
      <c r="N3" s="10"/>
      <c r="O3" s="10"/>
      <c r="P3" s="10"/>
      <c r="Q3" s="10"/>
      <c r="R3" s="10"/>
      <c r="S3" s="10"/>
      <c r="T3" s="10"/>
      <c r="U3" s="10"/>
      <c r="V3" s="10"/>
    </row>
    <row r="4" spans="1:22" x14ac:dyDescent="0.3">
      <c r="A4" s="10"/>
      <c r="B4" s="10"/>
      <c r="C4" s="10"/>
      <c r="D4" s="10"/>
      <c r="E4" s="10"/>
      <c r="F4" s="10"/>
      <c r="G4" s="10"/>
      <c r="H4" s="10"/>
      <c r="I4" s="10"/>
      <c r="J4" s="10"/>
      <c r="K4" s="10"/>
      <c r="L4" s="10"/>
      <c r="M4" s="10"/>
      <c r="N4" s="10"/>
      <c r="O4" s="10"/>
      <c r="P4" s="10"/>
      <c r="Q4" s="10"/>
      <c r="R4" s="10"/>
      <c r="S4" s="10"/>
      <c r="T4" s="10"/>
      <c r="U4" s="10"/>
      <c r="V4" s="10"/>
    </row>
    <row r="5" spans="1:22" x14ac:dyDescent="0.3">
      <c r="A5" s="10"/>
      <c r="B5" s="10"/>
      <c r="C5" s="10"/>
      <c r="D5" s="10"/>
      <c r="E5" s="10"/>
      <c r="F5" s="10"/>
      <c r="G5" s="10"/>
      <c r="H5" s="10"/>
      <c r="I5" s="10"/>
      <c r="J5" s="10"/>
      <c r="K5" s="10"/>
      <c r="L5" s="10"/>
      <c r="M5" s="10"/>
      <c r="N5" s="10"/>
      <c r="O5" s="10"/>
      <c r="P5" s="10"/>
      <c r="Q5" s="10"/>
      <c r="R5" s="10"/>
      <c r="S5" s="10"/>
      <c r="T5" s="10"/>
      <c r="U5" s="10"/>
      <c r="V5" s="10"/>
    </row>
    <row r="6" spans="1:22" x14ac:dyDescent="0.3">
      <c r="A6" s="10"/>
      <c r="B6" s="10"/>
      <c r="C6" s="10"/>
      <c r="D6" s="10"/>
      <c r="E6" s="10"/>
      <c r="F6" s="10"/>
      <c r="G6" s="10"/>
      <c r="H6" s="10"/>
      <c r="I6" s="10"/>
      <c r="J6" s="10"/>
      <c r="K6" s="10"/>
      <c r="L6" s="10"/>
      <c r="M6" s="10"/>
      <c r="N6" s="10"/>
      <c r="O6" s="10"/>
      <c r="P6" s="10"/>
      <c r="Q6" s="10"/>
      <c r="R6" s="10"/>
      <c r="S6" s="10"/>
      <c r="T6" s="10"/>
      <c r="U6" s="10"/>
      <c r="V6" s="10"/>
    </row>
    <row r="7" spans="1:22" x14ac:dyDescent="0.3">
      <c r="A7" s="10"/>
      <c r="B7" s="10"/>
      <c r="C7" s="10"/>
      <c r="D7" s="10"/>
      <c r="E7" s="10"/>
      <c r="F7" s="10"/>
      <c r="G7" s="10"/>
      <c r="H7" s="10"/>
      <c r="I7" s="10"/>
      <c r="J7" s="10"/>
      <c r="K7" s="10"/>
      <c r="L7" s="10"/>
      <c r="M7" s="10"/>
      <c r="N7" s="10"/>
      <c r="O7" s="10"/>
      <c r="P7" s="10"/>
      <c r="Q7" s="10"/>
      <c r="R7" s="10"/>
      <c r="S7" s="10"/>
      <c r="T7" s="10"/>
      <c r="U7" s="10"/>
      <c r="V7" s="10"/>
    </row>
    <row r="8" spans="1:22" x14ac:dyDescent="0.3">
      <c r="A8" s="10"/>
      <c r="B8" s="10"/>
      <c r="C8" s="10"/>
      <c r="D8" s="10"/>
      <c r="E8" s="10"/>
      <c r="F8" s="10"/>
      <c r="G8" s="10"/>
      <c r="H8" s="10"/>
      <c r="I8" s="10"/>
      <c r="J8" s="10"/>
      <c r="K8" s="10"/>
      <c r="L8" s="10"/>
      <c r="M8" s="10"/>
      <c r="N8" s="10"/>
      <c r="O8" s="10"/>
      <c r="P8" s="10"/>
      <c r="Q8" s="10"/>
      <c r="R8" s="10"/>
      <c r="S8" s="10"/>
      <c r="T8" s="10"/>
      <c r="U8" s="10"/>
      <c r="V8" s="10"/>
    </row>
    <row r="9" spans="1:22" x14ac:dyDescent="0.3">
      <c r="A9" s="10"/>
      <c r="B9" s="10"/>
      <c r="C9" s="10"/>
      <c r="D9" s="10"/>
      <c r="E9" s="10"/>
      <c r="F9" s="10"/>
      <c r="G9" s="10"/>
      <c r="H9" s="10"/>
      <c r="I9" s="10"/>
      <c r="J9" s="10"/>
      <c r="K9" s="10"/>
      <c r="L9" s="10"/>
      <c r="M9" s="10"/>
      <c r="N9" s="10"/>
      <c r="O9" s="10"/>
      <c r="P9" s="10"/>
      <c r="Q9" s="10"/>
      <c r="R9" s="10"/>
      <c r="S9" s="10"/>
      <c r="T9" s="10"/>
      <c r="U9" s="10"/>
      <c r="V9" s="10"/>
    </row>
    <row r="10" spans="1:22" x14ac:dyDescent="0.3">
      <c r="A10" s="10"/>
      <c r="B10" s="10"/>
      <c r="C10" s="10"/>
      <c r="D10" s="10"/>
      <c r="E10" s="10"/>
      <c r="F10" s="10"/>
      <c r="G10" s="10"/>
      <c r="H10" s="10"/>
      <c r="I10" s="10"/>
      <c r="J10" s="10"/>
      <c r="K10" s="10"/>
      <c r="L10" s="10"/>
      <c r="M10" s="10"/>
      <c r="N10" s="10"/>
      <c r="O10" s="10"/>
      <c r="P10" s="10"/>
      <c r="Q10" s="10"/>
      <c r="R10" s="10"/>
      <c r="S10" s="10"/>
      <c r="T10" s="10"/>
      <c r="U10" s="10"/>
      <c r="V10" s="10"/>
    </row>
    <row r="11" spans="1:22" x14ac:dyDescent="0.3">
      <c r="A11" s="10"/>
      <c r="B11" s="10"/>
      <c r="C11" s="10"/>
      <c r="D11" s="10"/>
      <c r="E11" s="10"/>
      <c r="F11" s="10"/>
      <c r="G11" s="10"/>
      <c r="H11" s="10"/>
      <c r="I11" s="10"/>
      <c r="J11" s="10"/>
      <c r="K11" s="10"/>
      <c r="L11" s="10"/>
      <c r="M11" s="10"/>
      <c r="N11" s="10"/>
      <c r="O11" s="10"/>
      <c r="P11" s="10"/>
      <c r="Q11" s="10"/>
      <c r="R11" s="10"/>
      <c r="S11" s="10"/>
      <c r="T11" s="10"/>
      <c r="U11" s="10"/>
      <c r="V11" s="10"/>
    </row>
    <row r="12" spans="1:22" x14ac:dyDescent="0.3">
      <c r="A12" s="10"/>
      <c r="B12" s="10"/>
      <c r="C12" s="10"/>
      <c r="D12" s="10"/>
      <c r="E12" s="10"/>
      <c r="F12" s="10"/>
      <c r="G12" s="10"/>
      <c r="H12" s="10"/>
      <c r="I12" s="10"/>
      <c r="J12" s="10"/>
      <c r="K12" s="10"/>
      <c r="L12" s="10"/>
      <c r="M12" s="10"/>
      <c r="N12" s="10"/>
      <c r="O12" s="10"/>
      <c r="P12" s="10"/>
      <c r="Q12" s="10"/>
      <c r="R12" s="10"/>
      <c r="S12" s="10"/>
      <c r="T12" s="10"/>
      <c r="U12" s="10"/>
      <c r="V12" s="10"/>
    </row>
    <row r="13" spans="1:22" x14ac:dyDescent="0.3">
      <c r="A13" s="10"/>
      <c r="B13" s="10"/>
      <c r="C13" s="10"/>
      <c r="D13" s="10"/>
      <c r="E13" s="10"/>
      <c r="F13" s="10"/>
      <c r="G13" s="10"/>
      <c r="H13" s="10"/>
      <c r="I13" s="10"/>
      <c r="J13" s="10"/>
      <c r="K13" s="10"/>
      <c r="L13" s="10"/>
      <c r="M13" s="10"/>
      <c r="N13" s="10"/>
      <c r="O13" s="10"/>
      <c r="P13" s="10"/>
      <c r="Q13" s="10"/>
      <c r="R13" s="10"/>
      <c r="S13" s="10"/>
      <c r="T13" s="10"/>
      <c r="U13" s="10"/>
      <c r="V13" s="10"/>
    </row>
    <row r="14" spans="1:22" x14ac:dyDescent="0.3">
      <c r="A14" s="10"/>
      <c r="B14" s="10"/>
      <c r="C14" s="10"/>
      <c r="D14" s="10"/>
      <c r="E14" s="10"/>
      <c r="F14" s="10"/>
      <c r="G14" s="10"/>
      <c r="H14" s="10"/>
      <c r="I14" s="10"/>
      <c r="J14" s="10"/>
      <c r="K14" s="10"/>
      <c r="L14" s="10"/>
      <c r="M14" s="10"/>
      <c r="N14" s="10"/>
      <c r="O14" s="10"/>
      <c r="P14" s="10"/>
      <c r="Q14" s="10"/>
      <c r="R14" s="10"/>
      <c r="S14" s="10"/>
      <c r="T14" s="10"/>
      <c r="U14" s="10"/>
      <c r="V14" s="10"/>
    </row>
    <row r="15" spans="1:22" x14ac:dyDescent="0.3">
      <c r="A15" s="10"/>
      <c r="B15" s="10"/>
      <c r="C15" s="10"/>
      <c r="D15" s="10"/>
      <c r="E15" s="10"/>
      <c r="F15" s="10"/>
      <c r="G15" s="10"/>
      <c r="H15" s="10"/>
      <c r="I15" s="10"/>
      <c r="J15" s="10"/>
      <c r="K15" s="10"/>
      <c r="L15" s="10"/>
      <c r="M15" s="10"/>
      <c r="N15" s="10"/>
      <c r="O15" s="10"/>
      <c r="P15" s="10"/>
      <c r="Q15" s="10"/>
      <c r="R15" s="10"/>
      <c r="S15" s="10"/>
      <c r="T15" s="10"/>
      <c r="U15" s="10"/>
      <c r="V15" s="10"/>
    </row>
    <row r="16" spans="1:22" x14ac:dyDescent="0.3">
      <c r="A16" s="10"/>
      <c r="B16" s="10"/>
      <c r="C16" s="10"/>
      <c r="D16" s="10"/>
      <c r="E16" s="10"/>
      <c r="F16" s="10"/>
      <c r="G16" s="10"/>
      <c r="H16" s="10"/>
      <c r="I16" s="10"/>
      <c r="J16" s="10"/>
      <c r="K16" s="10"/>
      <c r="L16" s="10"/>
      <c r="M16" s="10"/>
      <c r="N16" s="10"/>
      <c r="O16" s="10"/>
      <c r="P16" s="10"/>
      <c r="Q16" s="10"/>
      <c r="R16" s="10"/>
      <c r="S16" s="10"/>
      <c r="T16" s="10"/>
      <c r="U16" s="10"/>
      <c r="V16" s="10"/>
    </row>
    <row r="17" spans="1:22" x14ac:dyDescent="0.3">
      <c r="A17" s="10"/>
      <c r="B17" s="10"/>
      <c r="C17" s="10"/>
      <c r="D17" s="10"/>
      <c r="E17" s="10"/>
      <c r="F17" s="10"/>
      <c r="G17" s="10"/>
      <c r="H17" s="10"/>
      <c r="I17" s="10"/>
      <c r="J17" s="10"/>
      <c r="K17" s="10"/>
      <c r="L17" s="10"/>
      <c r="M17" s="10"/>
      <c r="N17" s="10"/>
      <c r="O17" s="10"/>
      <c r="P17" s="10"/>
      <c r="Q17" s="10"/>
      <c r="R17" s="10"/>
      <c r="S17" s="10"/>
      <c r="T17" s="10"/>
      <c r="U17" s="10"/>
      <c r="V17" s="10"/>
    </row>
    <row r="18" spans="1:22" x14ac:dyDescent="0.3">
      <c r="A18" s="10"/>
      <c r="B18" s="10"/>
      <c r="C18" s="10"/>
      <c r="D18" s="10"/>
      <c r="E18" s="10"/>
      <c r="F18" s="10"/>
      <c r="G18" s="10"/>
      <c r="H18" s="10"/>
      <c r="I18" s="10"/>
      <c r="J18" s="10"/>
      <c r="K18" s="10"/>
      <c r="L18" s="10"/>
      <c r="M18" s="10"/>
      <c r="N18" s="10"/>
      <c r="O18" s="10"/>
      <c r="P18" s="10"/>
      <c r="Q18" s="10"/>
      <c r="R18" s="10"/>
      <c r="S18" s="10"/>
      <c r="T18" s="10"/>
      <c r="U18" s="10"/>
      <c r="V18" s="10"/>
    </row>
    <row r="19" spans="1:22" x14ac:dyDescent="0.3">
      <c r="A19" s="10"/>
      <c r="B19" s="10"/>
      <c r="C19" s="10"/>
      <c r="D19" s="10"/>
      <c r="E19" s="10"/>
      <c r="F19" s="10"/>
      <c r="G19" s="10"/>
      <c r="H19" s="10"/>
      <c r="I19" s="10"/>
      <c r="J19" s="10"/>
      <c r="K19" s="10"/>
      <c r="L19" s="10"/>
      <c r="M19" s="10"/>
      <c r="N19" s="10"/>
      <c r="O19" s="10"/>
      <c r="P19" s="10"/>
      <c r="Q19" s="10"/>
      <c r="R19" s="10"/>
      <c r="S19" s="10"/>
      <c r="T19" s="10"/>
      <c r="U19" s="10"/>
      <c r="V19" s="10"/>
    </row>
    <row r="20" spans="1:22" x14ac:dyDescent="0.3">
      <c r="A20" s="10"/>
      <c r="B20" s="10"/>
      <c r="C20" s="10"/>
      <c r="D20" s="10"/>
      <c r="E20" s="10"/>
      <c r="F20" s="10"/>
      <c r="G20" s="10"/>
      <c r="H20" s="10"/>
      <c r="I20" s="10"/>
      <c r="J20" s="10"/>
      <c r="K20" s="10"/>
      <c r="L20" s="10"/>
      <c r="M20" s="10"/>
      <c r="N20" s="10"/>
      <c r="O20" s="10"/>
      <c r="P20" s="10"/>
      <c r="Q20" s="10"/>
      <c r="R20" s="10"/>
      <c r="S20" s="10"/>
      <c r="T20" s="10"/>
      <c r="U20" s="10"/>
      <c r="V20" s="10"/>
    </row>
    <row r="21" spans="1:22" x14ac:dyDescent="0.3">
      <c r="A21" s="10"/>
      <c r="B21" s="10"/>
      <c r="C21" s="10"/>
      <c r="D21" s="10"/>
      <c r="E21" s="10"/>
      <c r="F21" s="10"/>
      <c r="G21" s="10"/>
      <c r="H21" s="10"/>
      <c r="I21" s="10"/>
      <c r="J21" s="10"/>
      <c r="K21" s="10"/>
      <c r="L21" s="10"/>
      <c r="M21" s="10"/>
      <c r="N21" s="10"/>
      <c r="O21" s="10"/>
      <c r="P21" s="10"/>
      <c r="Q21" s="10"/>
      <c r="R21" s="10"/>
      <c r="S21" s="10"/>
      <c r="T21" s="10"/>
      <c r="U21" s="10"/>
      <c r="V21" s="10"/>
    </row>
    <row r="22" spans="1:22" x14ac:dyDescent="0.3">
      <c r="A22" s="10"/>
      <c r="B22" s="10"/>
      <c r="C22" s="10"/>
      <c r="D22" s="10"/>
      <c r="E22" s="10"/>
      <c r="F22" s="10"/>
      <c r="G22" s="10"/>
      <c r="H22" s="10"/>
      <c r="I22" s="10"/>
      <c r="J22" s="10"/>
      <c r="K22" s="10"/>
      <c r="L22" s="10"/>
      <c r="M22" s="10"/>
      <c r="N22" s="10"/>
      <c r="O22" s="10"/>
      <c r="P22" s="10"/>
      <c r="Q22" s="10"/>
      <c r="R22" s="10"/>
      <c r="S22" s="10"/>
      <c r="T22" s="10"/>
      <c r="U22" s="10"/>
      <c r="V22" s="10"/>
    </row>
    <row r="23" spans="1:22" x14ac:dyDescent="0.3">
      <c r="A23" s="10"/>
      <c r="B23" s="10"/>
      <c r="C23" s="10"/>
      <c r="D23" s="10"/>
      <c r="E23" s="10"/>
      <c r="F23" s="10"/>
      <c r="G23" s="10"/>
      <c r="H23" s="10"/>
      <c r="I23" s="10"/>
      <c r="J23" s="10"/>
      <c r="K23" s="10"/>
      <c r="L23" s="10"/>
      <c r="M23" s="10"/>
      <c r="N23" s="10"/>
      <c r="O23" s="10"/>
      <c r="P23" s="10"/>
      <c r="Q23" s="10"/>
      <c r="R23" s="10"/>
      <c r="S23" s="10"/>
      <c r="T23" s="10"/>
      <c r="U23" s="10"/>
      <c r="V23" s="10"/>
    </row>
    <row r="24" spans="1:22" x14ac:dyDescent="0.3">
      <c r="A24" s="10"/>
      <c r="B24" s="10"/>
      <c r="C24" s="10"/>
      <c r="D24" s="10"/>
      <c r="E24" s="10"/>
      <c r="F24" s="10"/>
      <c r="G24" s="10"/>
      <c r="H24" s="10"/>
      <c r="I24" s="10"/>
      <c r="J24" s="10"/>
      <c r="K24" s="10"/>
      <c r="L24" s="10"/>
      <c r="M24" s="10"/>
      <c r="N24" s="10"/>
      <c r="O24" s="10"/>
      <c r="P24" s="10"/>
      <c r="Q24" s="10"/>
      <c r="R24" s="10"/>
      <c r="S24" s="10"/>
      <c r="T24" s="10"/>
      <c r="U24" s="10"/>
      <c r="V24" s="10"/>
    </row>
    <row r="25" spans="1:22" x14ac:dyDescent="0.3">
      <c r="A25" s="10"/>
      <c r="B25" s="10"/>
      <c r="C25" s="10"/>
      <c r="D25" s="10"/>
      <c r="E25" s="10"/>
      <c r="F25" s="10"/>
      <c r="G25" s="10"/>
      <c r="H25" s="10"/>
      <c r="I25" s="10"/>
      <c r="J25" s="10"/>
      <c r="K25" s="10"/>
      <c r="L25" s="10"/>
      <c r="M25" s="10"/>
      <c r="N25" s="10"/>
      <c r="O25" s="10"/>
      <c r="P25" s="10"/>
      <c r="Q25" s="10"/>
      <c r="R25" s="10"/>
      <c r="S25" s="10"/>
      <c r="T25" s="10"/>
      <c r="U25" s="10"/>
      <c r="V25" s="10"/>
    </row>
    <row r="26" spans="1:22" x14ac:dyDescent="0.3">
      <c r="A26" s="10"/>
      <c r="B26" s="10"/>
      <c r="C26" s="10"/>
      <c r="D26" s="10"/>
      <c r="E26" s="10"/>
      <c r="F26" s="10"/>
      <c r="G26" s="10"/>
      <c r="H26" s="10"/>
      <c r="I26" s="10"/>
      <c r="J26" s="10"/>
      <c r="K26" s="10"/>
      <c r="L26" s="10"/>
      <c r="M26" s="10"/>
      <c r="N26" s="10"/>
      <c r="O26" s="10"/>
      <c r="P26" s="10"/>
      <c r="Q26" s="10"/>
      <c r="R26" s="10"/>
      <c r="S26" s="10"/>
      <c r="T26" s="10"/>
      <c r="U26" s="10"/>
      <c r="V26" s="10"/>
    </row>
    <row r="27" spans="1:22" x14ac:dyDescent="0.3">
      <c r="A27" s="10"/>
      <c r="B27" s="10"/>
      <c r="C27" s="10"/>
      <c r="D27" s="10"/>
      <c r="E27" s="10"/>
      <c r="F27" s="10"/>
      <c r="G27" s="10"/>
      <c r="H27" s="10"/>
      <c r="I27" s="10"/>
      <c r="J27" s="10"/>
      <c r="K27" s="10"/>
      <c r="L27" s="10"/>
      <c r="M27" s="10"/>
      <c r="N27" s="10"/>
      <c r="O27" s="10"/>
      <c r="P27" s="10"/>
      <c r="Q27" s="10"/>
      <c r="R27" s="10"/>
      <c r="S27" s="10"/>
      <c r="T27" s="10"/>
      <c r="U27" s="10"/>
      <c r="V27" s="1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28E9B2-87DD-4543-A9D7-DBCC9AADD0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Sheet4</vt:lpstr>
      <vt:lpstr>Sheet5</vt:lpstr>
      <vt:lpstr>pivot Report</vt:lpstr>
      <vt:lpstr>Data</vt:lpstr>
      <vt:lpstr>Dashboard1</vt:lpstr>
      <vt:lpstr>productivity</vt:lpstr>
      <vt:lpstr>Goal_Achievement</vt:lpstr>
      <vt:lpstr>Average of Study_Hours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 Keerthi</cp:lastModifiedBy>
  <dcterms:created xsi:type="dcterms:W3CDTF">2025-12-03T05:08:02Z</dcterms:created>
  <dcterms:modified xsi:type="dcterms:W3CDTF">2026-01-04T10:27:06Z</dcterms:modified>
</cp:coreProperties>
</file>